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ds_project_ids" sheetId="1" r:id="rId5"/>
    <sheet state="visible" name="template_lb" sheetId="2" r:id="rId6"/>
    <sheet state="visible" name="template_kg" sheetId="3" r:id="rId7"/>
    <sheet state="visible" name="weighted_avgs" sheetId="4" r:id="rId8"/>
    <sheet state="hidden" name="ea_projects" sheetId="5" r:id="rId9"/>
    <sheet state="hidden" name="template_2014_foam" sheetId="6" r:id="rId10"/>
    <sheet state="hidden" name="OLD ods_issuance_ratios" sheetId="7" r:id="rId11"/>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tc={00f09fc1-3722-451e-8179-4255515f4b65}</author>
    <author>tc={04430c9c-78ba-4989-856c-544fa8bd52c0}</author>
    <author>tc={10e9eaf3-c292-4918-9b82-62965a63dddf}</author>
    <author>tc={1d01ef80-8ba2-446c-87b3-46bba05026f4}</author>
    <author>tc={41697787-2d5c-4657-9eaa-dee59e42762e}</author>
    <author>tc={4eceab8f-23d1-4b8d-b73a-3e3c52c0862c}</author>
    <author>tc={4f434326-1ddc-40ad-8847-30e9313673b8}</author>
    <author>tc={500f2f18-d25a-454d-9c01-7e3cb4319e2d}</author>
    <author>tc={56e58ff8-49eb-4a03-abe9-a50632dff5f3}</author>
    <author>tc={5a6e3b94-3d29-4338-bd8e-1f7e64f3f750}</author>
    <author>tc={5cd63a69-c5d3-43dd-8298-c39e8fe7c6e1}</author>
    <author>tc={6466619c-4969-4b10-a739-462b5efddf41}</author>
    <author>tc={6508f84f-16ea-4c91-a3a3-1ee12a3e031b}</author>
    <author>tc={6a3e2757-0f13-4ea9-b4a5-384cdbdd3af8}</author>
    <author>tc={6db93425-ac90-4205-9a89-6024748112b3}</author>
    <author>tc={722484fb-c415-4b8a-9d88-3892a54a3a3e}</author>
    <author>tc={7cdcbeb0-d990-4d96-b977-463daa5232a3}</author>
    <author>tc={7de027cd-b8ef-486e-8218-3eeaf47bf642}</author>
    <author>tc={8394bad8-64cf-439e-9e11-e2ac21b717d5}</author>
    <author>tc={87a3e45b-f299-4c9a-902c-2038223e4203}</author>
    <author>tc={a3e86e98-f1fd-4797-9f09-d7f1bf3b61d8}</author>
    <author>tc={b1ceb358-600d-43a5-8fea-378f208f0f3f}</author>
    <author>tc={b6c23e0c-3d17-4eab-ab20-c135c92ffb7f}</author>
    <author>tc={c21a94d6-3dd1-4abe-b178-eb435ebf6779}</author>
    <author>tc={c2671517-f424-4848-a591-68f4cfec3852}</author>
    <author>tc={c3d12033-965d-4831-9da9-ddf1958c3dd2}</author>
    <author>tc={c879a655-f70b-4c4f-8f2d-4546775ad3e8}</author>
    <author>tc={cf912e31-38a8-468c-a6ff-d803046630f2}</author>
    <author>tc={d16486e7-c6b6-4327-a709-3ebee27917e9}</author>
    <author>tc={da72d247-50bd-4ed1-8f8d-43fe10e75701}</author>
    <author>tc={ddf363e8-efd1-4e7d-aa89-f3da1f561703}</author>
    <author>tc={ddfd0188-cf53-4ac5-aba9-2d895040d7cd}</author>
    <author>tc={e660b92d-7f8e-481f-bb01-b715ec6b5645}</author>
  </authors>
  <commentList>
    <comment authorId="0" xr:uid="{00f09fc1-3722-451e-8179-4255515f4b65}" ref="N13">
      <text>
        <t xml:space="preserve">[Threaded comment]
 Your version of Excel allows you to read this threaded comment; however, any edits to it will get removed if the file is opened in a newer version of Excel. Learn more: https://go.microsoft.com/fwlink/?linkid=870924
Comment:
	diff flag at 6.725%
</t>
      </text>
    </comment>
    <comment authorId="1" xr:uid="{04430c9c-78ba-4989-856c-544fa8bd52c0}" ref="N183">
      <text>
        <t xml:space="preserve">[Threaded comment]
 Your version of Excel allows you to read this threaded comment; however, any edits to it will get removed if the file is opened in a newer version of Excel. Learn more: https://go.microsoft.com/fwlink/?linkid=870924
Comment:
	diff flag: 1.395%
</t>
      </text>
    </comment>
    <comment authorId="2" xr:uid="{10e9eaf3-c292-4918-9b82-62965a63dddf}" ref="N64">
      <text>
        <t xml:space="preserve">[Threaded comment]
 Your version of Excel allows you to read this threaded comment; however, any edits to it will get removed if the file is opened in a newer version of Excel. Learn more: https://go.microsoft.com/fwlink/?linkid=870924
Comment:
	diff flag: 1.702%
</t>
      </text>
    </comment>
    <comment authorId="3" xr:uid="{1d01ef80-8ba2-446c-87b3-46bba05026f4}" ref="N167">
      <text>
        <t xml:space="preserve">[Threaded comment]
 Your version of Excel allows you to read this threaded comment; however, any edits to it will get removed if the file is opened in a newer version of Excel. Learn more: https://go.microsoft.com/fwlink/?linkid=870924
Comment:
	diff flag: 1.098%
</t>
      </text>
    </comment>
    <comment authorId="4" xr:uid="{41697787-2d5c-4657-9eaa-dee59e42762e}" ref="A125">
      <text>
        <t xml:space="preserve">[Threaded comment]
 Your version of Excel allows you to read this threaded comment; however, any edits to it will get removed if the file is opened in a newer version of Excel. Learn more: https://go.microsoft.com/fwlink/?linkid=870924
Comment:
	experiment end
</t>
      </text>
    </comment>
    <comment authorId="5" xr:uid="{4eceab8f-23d1-4b8d-b73a-3e3c52c0862c}" ref="N213">
      <text>
        <t xml:space="preserve">[Threaded comment]
 Your version of Excel allows you to read this threaded comment; however, any edits to it will get removed if the file is opened in a newer version of Excel. Learn more: https://go.microsoft.com/fwlink/?linkid=870924
Comment:
	diff flag: 1.10%
</t>
      </text>
    </comment>
    <comment authorId="6" xr:uid="{4f434326-1ddc-40ad-8847-30e9313673b8}" ref="Q45">
      <text>
        <t xml:space="preserve">[Threaded comment]
 Your version of Excel allows you to read this threaded comment; however, any edits to it will get removed if the file is opened in a newer version of Excel. Learn more: https://go.microsoft.com/fwlink/?linkid=870924
Comment:
	same as ACR350
</t>
      </text>
    </comment>
    <comment authorId="7" xr:uid="{500f2f18-d25a-454d-9c01-7e3cb4319e2d}" ref="N97">
      <text>
        <t xml:space="preserve">[Threaded comment]
 Your version of Excel allows you to read this threaded comment; however, any edits to it will get removed if the file is opened in a newer version of Excel. Learn more: https://go.microsoft.com/fwlink/?linkid=870924
Comment:
	diff flag: 1.572%
</t>
      </text>
    </comment>
    <comment authorId="8" xr:uid="{56e58ff8-49eb-4a03-abe9-a50632dff5f3}" ref="N139">
      <text>
        <t xml:space="preserve">[Threaded comment]
 Your version of Excel allows you to read this threaded comment; however, any edits to it will get removed if the file is opened in a newer version of Excel. Learn more: https://go.microsoft.com/fwlink/?linkid=870924
Comment:
	diff flag: 4.651%
</t>
      </text>
    </comment>
    <comment authorId="9" xr:uid="{5a6e3b94-3d29-4338-bd8e-1f7e64f3f750}" ref="N148">
      <text>
        <t xml:space="preserve">[Threaded comment]
 Your version of Excel allows you to read this threaded comment; however, any edits to it will get removed if the file is opened in a newer version of Excel. Learn more: https://go.microsoft.com/fwlink/?linkid=870924
Comment:
	total CHC reductions reported here and in OPDR off by 9
</t>
      </text>
    </comment>
    <comment authorId="10" xr:uid="{5cd63a69-c5d3-43dd-8298-c39e8fe7c6e1}" ref="N191">
      <text>
        <t xml:space="preserve">[Threaded comment]
 Your version of Excel allows you to read this threaded comment; however, any edits to it will get removed if the file is opened in a newer version of Excel. Learn more: https://go.microsoft.com/fwlink/?linkid=870924
Comment:
	diff flag: 1.59%
</t>
      </text>
    </comment>
    <comment authorId="11" xr:uid="{6466619c-4969-4b10-a739-462b5efddf41}" ref="N175">
      <text>
        <t xml:space="preserve">[Threaded comment]
 Your version of Excel allows you to read this threaded comment; however, any edits to it will get removed if the file is opened in a newer version of Excel. Learn more: https://go.microsoft.com/fwlink/?linkid=870924
Comment:
	diff flag: 1.429%
</t>
      </text>
    </comment>
    <comment authorId="12" xr:uid="{6508f84f-16ea-4c91-a3a3-1ee12a3e031b}" ref="N92">
      <text>
        <t xml:space="preserve">[Threaded comment]
 Your version of Excel allows you to read this threaded comment; however, any edits to it will get removed if the file is opened in a newer version of Excel. Learn more: https://go.microsoft.com/fwlink/?linkid=870924
Comment:
	diff flag: 1.052%
</t>
      </text>
    </comment>
    <comment authorId="13" xr:uid="{6a3e2757-0f13-4ea9-b4a5-384cdbdd3af8}" ref="A1">
      <text>
        <t xml:space="preserve">[Threaded comment]
 Your version of Excel allows you to read this threaded comment; however, any edits to it will get removed if the file is opened in a newer version of Excel. Learn more: https://go.microsoft.com/fwlink/?linkid=870924
Comment:
	single destruction event; some refrigerant only ODS
</t>
      </text>
    </comment>
    <comment authorId="14" xr:uid="{6db93425-ac90-4205-9a89-6024748112b3}" ref="A102">
      <text>
        <t xml:space="preserve">[Threaded comment]
 Your version of Excel allows you to read this threaded comment; however, any edits to it will get removed if the file is opened in a newer version of Excel. Learn more: https://go.microsoft.com/fwlink/?linkid=870924
Comment:
	experiment start
</t>
      </text>
    </comment>
    <comment authorId="15" xr:uid="{722484fb-c415-4b8a-9d88-3892a54a3a3e}" ref="O20">
      <text>
        <t xml:space="preserve">[Threaded comment]
 Your version of Excel allows you to read this threaded comment; however, any edits to it will get removed if the file is opened in a newer version of Excel. Learn more: https://go.microsoft.com/fwlink/?linkid=870924
Comment:
	project listing doc just lists refrigerants; treating the odpr numbers that way basically perfectly replicates the crediting calc. however, hcfcs are in the ODS destroyed table!
</t>
      </text>
    </comment>
    <comment authorId="16" xr:uid="{7cdcbeb0-d990-4d96-b977-463daa5232a3}" ref="N73">
      <text>
        <t xml:space="preserve">[Threaded comment]
 Your version of Excel allows you to read this threaded comment; however, any edits to it will get removed if the file is opened in a newer version of Excel. Learn more: https://go.microsoft.com/fwlink/?linkid=870924
Comment:
	diff flag: 1.635%
</t>
      </text>
    </comment>
    <comment authorId="17" xr:uid="{7de027cd-b8ef-486e-8218-3eeaf47bf642}" ref="Q42">
      <text>
        <t xml:space="preserve">[Threaded comment]
 Your version of Excel allows you to read this threaded comment; however, any edits to it will get removed if the file is opened in a newer version of Excel. Learn more: https://go.microsoft.com/fwlink/?linkid=870924
Comment:
	1 million destruction events; come back to this to modify template
</t>
      </text>
    </comment>
    <comment authorId="18" xr:uid="{8394bad8-64cf-439e-9e11-e2ac21b717d5}" ref="N129">
      <text>
        <t xml:space="preserve">[Threaded comment]
 Your version of Excel allows you to read this threaded comment; however, any edits to it will get removed if the file is opened in a newer version of Excel. Learn more: https://go.microsoft.com/fwlink/?linkid=870924
Comment:
	diff flag: 1.24
</t>
      </text>
    </comment>
    <comment authorId="19" xr:uid="{87a3e45b-f299-4c9a-902c-2038223e4203}" ref="N41">
      <text>
        <t xml:space="preserve">[Threaded comment]
 Your version of Excel allows you to read this threaded comment; however, any edits to it will get removed if the file is opened in a newer version of Excel. Learn more: https://go.microsoft.com/fwlink/?linkid=870924
Comment:
	diff &gt;1% (1.345)
</t>
      </text>
    </comment>
    <comment authorId="20" xr:uid="{a3e86e98-f1fd-4797-9f09-d7f1bf3b61d8}" ref="N142">
      <text>
        <t xml:space="preserve">[Threaded comment]
 Your version of Excel allows you to read this threaded comment; however, any edits to it will get removed if the file is opened in a newer version of Excel. Learn more: https://go.microsoft.com/fwlink/?linkid=870924
Comment:
	diff flag: 2.26%
</t>
      </text>
    </comment>
    <comment authorId="21" xr:uid="{b1ceb358-600d-43a5-8fea-378f208f0f3f}" ref="N140">
      <text>
        <t xml:space="preserve">[Threaded comment]
 Your version of Excel allows you to read this threaded comment; however, any edits to it will get removed if the file is opened in a newer version of Excel. Learn more: https://go.microsoft.com/fwlink/?linkid=870924
Comment:
	diff flag: 2.41%
</t>
      </text>
    </comment>
    <comment authorId="22" xr:uid="{b6c23e0c-3d17-4eab-ab20-c135c92ffb7f}" ref="N126">
      <text>
        <t xml:space="preserve">[Threaded comment]
 Your version of Excel allows you to read this threaded comment; however, any edits to it will get removed if the file is opened in a newer version of Excel. Learn more: https://go.microsoft.com/fwlink/?linkid=870924
Comment:
	off by a factor of two. what's up with that?
</t>
      </text>
    </comment>
    <comment authorId="23" xr:uid="{c21a94d6-3dd1-4abe-b178-eb435ebf6779}" ref="N136">
      <text>
        <t xml:space="preserve">[Threaded comment]
 Your version of Excel allows you to read this threaded comment; however, any edits to it will get removed if the file is opened in a newer version of Excel. Learn more: https://go.microsoft.com/fwlink/?linkid=870924
Comment:
	diff flag: 2.43%
</t>
      </text>
    </comment>
    <comment authorId="24" xr:uid="{c2671517-f424-4848-a591-68f4cfec3852}" ref="N131">
      <text>
        <t xml:space="preserve">[Threaded comment]
 Your version of Excel allows you to read this threaded comment; however, any edits to it will get removed if the file is opened in a newer version of Excel. Learn more: https://go.microsoft.com/fwlink/?linkid=870924
Comment:
	diff flag: 3.971%
</t>
      </text>
    </comment>
    <comment authorId="25" xr:uid="{c3d12033-965d-4831-9da9-ddf1958c3dd2}" ref="N151">
      <text>
        <t xml:space="preserve">[Threaded comment]
 Your version of Excel allows you to read this threaded comment; however, any edits to it will get removed if the file is opened in a newer version of Excel. Learn more: https://go.microsoft.com/fwlink/?linkid=870924
Comment:
	diff flag: 8.363%
but doesn't matter since all cfc-11?
</t>
      </text>
    </comment>
    <comment authorId="26" xr:uid="{c879a655-f70b-4c4f-8f2d-4546775ad3e8}" ref="N128">
      <text>
        <t xml:space="preserve">[Threaded comment]
 Your version of Excel allows you to read this threaded comment; however, any edits to it will get removed if the file is opened in a newer version of Excel. Learn more: https://go.microsoft.com/fwlink/?linkid=870924
Comment:
	diff flag: 4.336%
</t>
      </text>
    </comment>
    <comment authorId="27" xr:uid="{cf912e31-38a8-468c-a6ff-d803046630f2}" ref="N134">
      <text>
        <t xml:space="preserve">[Threaded comment]
 Your version of Excel allows you to read this threaded comment; however, any edits to it will get removed if the file is opened in a newer version of Excel. Learn more: https://go.microsoft.com/fwlink/?linkid=870924
Comment:
	diff flag: 3.14
</t>
      </text>
    </comment>
    <comment authorId="28" xr:uid="{d16486e7-c6b6-4327-a709-3ebee27917e9}" ref="A123">
      <text>
        <t xml:space="preserve">[Threaded comment]
 Your version of Excel allows you to read this threaded comment; however, any edits to it will get removed if the file is opened in a newer version of Excel. Learn more: https://go.microsoft.com/fwlink/?linkid=870924
Comment:
	no ODPR! just an appendix.
</t>
      </text>
    </comment>
    <comment authorId="29" xr:uid="{da72d247-50bd-4ed1-8f8d-43fe10e75701}" ref="N141">
      <text>
        <t xml:space="preserve">[Threaded comment]
 Your version of Excel allows you to read this threaded comment; however, any edits to it will get removed if the file is opened in a newer version of Excel. Learn more: https://go.microsoft.com/fwlink/?linkid=870924
Comment:
	diff flag: 3.143%
</t>
      </text>
    </comment>
    <comment authorId="30" xr:uid="{ddf363e8-efd1-4e7d-aa89-f3da1f561703}" ref="A1">
      <text>
        <t xml:space="preserve">[Threaded comment]
 Your version of Excel allows you to read this threaded comment; however, any edits to it will get removed if the file is opened in a newer version of Excel. Learn more: https://go.microsoft.com/fwlink/?linkid=870924
Comment:
	second option is equation 5.9
</t>
      </text>
    </comment>
    <comment authorId="31" xr:uid="{ddfd0188-cf53-4ac5-aba9-2d895040d7cd}" ref="N112">
      <text>
        <t xml:space="preserve">[Threaded comment]
 Your version of Excel allows you to read this threaded comment; however, any edits to it will get removed if the file is opened in a newer version of Excel. Learn more: https://go.microsoft.com/fwlink/?linkid=870924
Comment:
	diff flag: 2.830%
</t>
      </text>
    </comment>
    <comment authorId="32" xr:uid="{e660b92d-7f8e-481f-bb01-b715ec6b5645}" ref="N61">
      <text>
        <t xml:space="preserve">[Threaded comment]
 Your version of Excel allows you to read this threaded comment; however, any edits to it will get removed if the file is opened in a newer version of Excel. Learn more: https://go.microsoft.com/fwlink/?linkid=870924
Comment:
	diff flag at 1.756%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tc={2ab0e9c9-7187-47db-821b-34c63ecaed24}</author>
    <author>tc={45a95e00-9aa6-4915-9d03-62d6e57ccb90}</author>
    <author>tc={48769538-d371-472a-8627-ccae3b0c8103}</author>
    <author>tc={5e981081-4cf2-4b76-9e81-1c78e53d70ad}</author>
    <author>tc={6f3f7563-6582-4541-880d-a8c9c5a46461}</author>
    <author>tc={7857fded-3abd-44f9-be52-055e139651dd}</author>
    <author>tc={b52037bd-dc94-4437-b1c9-d286c33b517b}</author>
    <author>tc={b5af846d-7f0f-48c7-8aa4-ff0ec4fc93ee}</author>
    <author>tc={ba46aec9-9338-469f-b5aa-c3413722db33}</author>
    <author>tc={c2eddd15-4a4f-4452-a61a-d6395dcbb10a}</author>
    <author>tc={cf5ae328-5f47-451e-8479-ff1ec8f597b7}</author>
    <author>tc={e759c313-7e24-42d6-b239-d42fd62565ba}</author>
  </authors>
  <commentList>
    <comment authorId="0" xr:uid="{2ab0e9c9-7187-47db-821b-34c63ecaed24}" ref="M32">
      <text>
        <t xml:space="preserve">[Threaded comment]
 Your version of Excel allows you to read this threaded comment; however, any edits to it will get removed if the file is opened in a newer version of Excel. Learn more: https://go.microsoft.com/fwlink/?linkid=870924
Comment:
	had to fix; percentages did exist
</t>
      </text>
    </comment>
    <comment authorId="1" xr:uid="{45a95e00-9aa6-4915-9d03-62d6e57ccb90}" ref="AA16">
      <text>
        <t xml:space="preserve">[Threaded comment]
 Your version of Excel allows you to read this threaded comment; however, any edits to it will get removed if the file is opened in a newer version of Excel. Learn more: https://go.microsoft.com/fwlink/?linkid=870924
Comment:
	applying default breakdown overestimates credits by 21%
</t>
      </text>
    </comment>
    <comment authorId="2" xr:uid="{48769538-d371-472a-8627-ccae3b0c8103}" ref="AA12">
      <text>
        <t xml:space="preserve">[Threaded comment]
 Your version of Excel allows you to read this threaded comment; however, any edits to it will get removed if the file is opened in a newer version of Excel. Learn more: https://go.microsoft.com/fwlink/?linkid=870924
Comment:
	Total credits issued here &lt;&lt; verification report
</t>
      </text>
    </comment>
    <comment authorId="3" xr:uid="{5e981081-4cf2-4b76-9e81-1c78e53d70ad}" ref="AA20">
      <text>
        <t xml:space="preserve">[Threaded comment]
 Your version of Excel allows you to read this threaded comment; however, any edits to it will get removed if the file is opened in a newer version of Excel. Learn more: https://go.microsoft.com/fwlink/?linkid=870924
Comment:
	default vals overestimate credits by 97%
</t>
      </text>
    </comment>
    <comment authorId="4" xr:uid="{6f3f7563-6582-4541-880d-a8c9c5a46461}" ref="AA18">
      <text>
        <t xml:space="preserve">[Threaded comment]
 Your version of Excel allows you to read this threaded comment; however, any edits to it will get removed if the file is opened in a newer version of Excel. Learn more: https://go.microsoft.com/fwlink/?linkid=870924
Comment:
	applying default breakdown overestimates credits by 76%
</t>
      </text>
    </comment>
    <comment authorId="5" xr:uid="{7857fded-3abd-44f9-be52-055e139651dd}" ref="AA80">
      <text>
        <t xml:space="preserve">[Threaded comment]
 Your version of Excel allows you to read this threaded comment; however, any edits to it will get removed if the file is opened in a newer version of Excel. Learn more: https://go.microsoft.com/fwlink/?linkid=870924
Comment:
	can't find any explanation for why verification report final numbers don't match this issuance table number; the project ID matches and the reporting period matches, and there are no additional documents (or notes in the issuance table) that seem to explain the discrepancy.
Reply:
	i think it's fair to move forward with the ratios, but note the discrepancy.
</t>
      </text>
    </comment>
    <comment authorId="6" xr:uid="{b52037bd-dc94-4437-b1c9-d286c33b517b}" ref="AA87">
      <text>
        <t xml:space="preserve">[Threaded comment]
 Your version of Excel allows you to read this threaded comment; however, any edits to it will get removed if the file is opened in a newer version of Excel. Learn more: https://go.microsoft.com/fwlink/?linkid=870924
Comment:
	Default values overcredit by 80%
</t>
      </text>
    </comment>
    <comment authorId="7" xr:uid="{b5af846d-7f0f-48c7-8aa4-ff0ec4fc93ee}" ref="AA31">
      <text>
        <t xml:space="preserve">[Threaded comment]
 Your version of Excel allows you to read this threaded comment; however, any edits to it will get removed if the file is opened in a newer version of Excel. Learn more: https://go.microsoft.com/fwlink/?linkid=870924
Comment:
	applying default mixture overcredits by 8.3%
</t>
      </text>
    </comment>
    <comment authorId="8" xr:uid="{ba46aec9-9338-469f-b5aa-c3413722db33}" ref="M53">
      <text>
        <t xml:space="preserve">[Threaded comment]
 Your version of Excel allows you to read this threaded comment; however, any edits to it will get removed if the file is opened in a newer version of Excel. Learn more: https://go.microsoft.com/fwlink/?linkid=870924
Comment:
	Q valued reported for calculating baseline emissions
</t>
      </text>
    </comment>
    <comment authorId="9" xr:uid="{c2eddd15-4a4f-4452-a61a-d6395dcbb10a}" ref="AA5">
      <text>
        <t xml:space="preserve">[Threaded comment]
 Your version of Excel allows you to read this threaded comment; however, any edits to it will get removed if the file is opened in a newer version of Excel. Learn more: https://go.microsoft.com/fwlink/?linkid=870924
Comment:
	sum of issuance table (three issuances in reporting period 1) is 10 credits off from verification report total. no explanation.
</t>
      </text>
    </comment>
    <comment authorId="10" xr:uid="{cf5ae328-5f47-451e-8479-ff1ec8f597b7}" ref="AA56">
      <text>
        <t xml:space="preserve">[Threaded comment]
 Your version of Excel allows you to read this threaded comment; however, any edits to it will get removed if the file is opened in a newer version of Excel. Learn more: https://go.microsoft.com/fwlink/?linkid=870924
Comment:
	default fill overcredits by 1.44%
</t>
      </text>
    </comment>
    <comment authorId="11" xr:uid="{e759c313-7e24-42d6-b239-d42fd62565ba}" ref="AA8">
      <text>
        <t xml:space="preserve">[Threaded comment]
 Your version of Excel allows you to read this threaded comment; however, any edits to it will get removed if the file is opened in a newer version of Excel. Learn more: https://go.microsoft.com/fwlink/?linkid=870924
Comment:
	Total crediting for reporting period 2 in verification report is 250,678, compared to 238,980 across these four corresponding issuances.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tc={1a7c6d24-f197-4051-bd41-14320f5c6468}</author>
  </authors>
  <commentList>
    <comment authorId="0" xr:uid="{1a7c6d24-f197-4051-bd41-14320f5c6468}" ref="B10">
      <text>
        <t xml:space="preserve">[Threaded comment]
 Your version of Excel allows you to read this threaded comment; however, any edits to it will get removed if the file is opened in a newer version of Excel. Learn more: https://go.microsoft.com/fwlink/?linkid=870924
Comment:
	metric tons, since co2e is reported in metric tons
</t>
      </text>
    </comment>
  </commentList>
</comments>
</file>

<file path=xl/sharedStrings.xml><?xml version="1.0" encoding="utf-8"?>
<sst xmlns="http://schemas.openxmlformats.org/spreadsheetml/2006/main" count="4145" uniqueCount="1648">
  <si>
    <t>OPR Project ID</t>
  </si>
  <si>
    <t>CARB Project ID</t>
  </si>
  <si>
    <t>Reporting Period</t>
  </si>
  <si>
    <t>Project Type</t>
  </si>
  <si>
    <t>Early Action/ Compliance</t>
  </si>
  <si>
    <t>Reporting Period Start Date</t>
  </si>
  <si>
    <t>Reporting Period End Date</t>
  </si>
  <si>
    <t>Vintage</t>
  </si>
  <si>
    <t>Offset Project Name</t>
  </si>
  <si>
    <t>Offset Project Operator</t>
  </si>
  <si>
    <t>Verification Body</t>
  </si>
  <si>
    <t>CARB Issuance ID</t>
  </si>
  <si>
    <t>Project Documentation</t>
  </si>
  <si>
    <t>ARB Offset Credits Issued</t>
  </si>
  <si>
    <t>type (ref, foam, mixed, ambiguous)</t>
  </si>
  <si>
    <t xml:space="preserve">protocol </t>
  </si>
  <si>
    <t>cfc-11-ratio-p</t>
  </si>
  <si>
    <t>cfc-12-ratio-p</t>
  </si>
  <si>
    <t>cfc-13-ratio-p</t>
  </si>
  <si>
    <t>cfc-113-ratio-p</t>
  </si>
  <si>
    <t>cfc-114-ratio-p</t>
  </si>
  <si>
    <t>cfc-115-ratio-p</t>
  </si>
  <si>
    <t>hcfc-22-ratio-p</t>
  </si>
  <si>
    <t>hcfc-141b-ratio-p</t>
  </si>
  <si>
    <t>drop</t>
  </si>
  <si>
    <t>notes</t>
  </si>
  <si>
    <t>cfc-11-ratio-a</t>
  </si>
  <si>
    <t>cfc-12-ratio-a</t>
  </si>
  <si>
    <t>cfc-13-ratio-a</t>
  </si>
  <si>
    <t>cfc-113-ratio-a</t>
  </si>
  <si>
    <t>cfc-114-ratio-a</t>
  </si>
  <si>
    <t>cfc-115-ratio-a</t>
  </si>
  <si>
    <t>hcfc-22-ratio-a</t>
  </si>
  <si>
    <t>hcfc-141b-ratio-a</t>
  </si>
  <si>
    <t>ACR1007</t>
  </si>
  <si>
    <t>CAOD1007</t>
  </si>
  <si>
    <t>ODS</t>
  </si>
  <si>
    <t>COP</t>
  </si>
  <si>
    <t>A-Gas 3-2023B</t>
  </si>
  <si>
    <t>A-Gas US, Inc.</t>
  </si>
  <si>
    <t>Dillon Consulting Limited</t>
  </si>
  <si>
    <t>CAOD1007-A</t>
  </si>
  <si>
    <t>https://greentrace.ice.com/acr/projects/registry/ACR_REGISTRY/project/P2323C9VS725</t>
  </si>
  <si>
    <t>ref</t>
  </si>
  <si>
    <t>ACR1013</t>
  </si>
  <si>
    <t>CAOD1013</t>
  </si>
  <si>
    <t>Tradewater ODS 54</t>
  </si>
  <si>
    <t>Tradewater, LLC</t>
  </si>
  <si>
    <t>SES, Inc.</t>
  </si>
  <si>
    <t>CAOD1013-A</t>
  </si>
  <si>
    <t>https://greentrace.ice.com/acr/projects/registry/ACR_REGISTRY/project/P2323C9VPD25</t>
  </si>
  <si>
    <t>ACR1020</t>
  </si>
  <si>
    <t>CAOD1020</t>
  </si>
  <si>
    <t>Hudson Tech 2024-1</t>
  </si>
  <si>
    <t>Hudson Technologies Company</t>
  </si>
  <si>
    <t>CAOD1020-A</t>
  </si>
  <si>
    <t>https://greentrace.ice.com/acr/projects/registry/ACR_REGISTRY/project/P2423C9VYN24</t>
  </si>
  <si>
    <t>ACR1022</t>
  </si>
  <si>
    <t>CAOD1022</t>
  </si>
  <si>
    <t>Tradewater ODS 53B</t>
  </si>
  <si>
    <t>SCS Global Services</t>
  </si>
  <si>
    <t>CAOD1022-A</t>
  </si>
  <si>
    <t>https://greentrace.ice.com/acr/projects/registry/ACR_REGISTRY/project/P2323C9VR625</t>
  </si>
  <si>
    <t>ACR1040</t>
  </si>
  <si>
    <t>CAOD1040</t>
  </si>
  <si>
    <t>Tradewater ODS 55</t>
  </si>
  <si>
    <t>CAOD1040-A</t>
  </si>
  <si>
    <t>https://greentrace.ice.com/acr/projects/registry/ACR_REGISTRY/project/P2423C9VQ425</t>
  </si>
  <si>
    <t>ACR1042</t>
  </si>
  <si>
    <t>CAOD1042</t>
  </si>
  <si>
    <t>A-Gas 1-2024</t>
  </si>
  <si>
    <t>CAOD1042-A</t>
  </si>
  <si>
    <t>https://greentrace.ice.com/acr/projects/registry/ACR_REGISTRY/project/P2323C9VS624</t>
  </si>
  <si>
    <t>ACR1067</t>
  </si>
  <si>
    <t>CAOD1067</t>
  </si>
  <si>
    <t>Tradewater ODS 56</t>
  </si>
  <si>
    <t>CAOD1067-A</t>
  </si>
  <si>
    <t>https://greentrace.ice.com/acr/projects/registry/ACR_REGISTRY/project/P2423C9VPU24</t>
  </si>
  <si>
    <t>ACR1076</t>
  </si>
  <si>
    <t>CAOD1076</t>
  </si>
  <si>
    <t>Hudson Tech 2024-2</t>
  </si>
  <si>
    <t>First Environment of California, Inc.</t>
  </si>
  <si>
    <t>CAOD1076-A</t>
  </si>
  <si>
    <t>https://greentrace.ice.com/acr/projects/registry/ACR_REGISTRY/project/P2323C9VVL22</t>
  </si>
  <si>
    <t>ACR1090</t>
  </si>
  <si>
    <t>CAOD1090</t>
  </si>
  <si>
    <t>Tradewater ODS 57</t>
  </si>
  <si>
    <t>CAOD1090-A</t>
  </si>
  <si>
    <t>https://greentrace.ice.com/acr/projects/registry/ACR_REGISTRY/project/P2423C9VQE25</t>
  </si>
  <si>
    <t>ACR1109</t>
  </si>
  <si>
    <t>CAOD1109</t>
  </si>
  <si>
    <t>Hudson Tech 2024-3</t>
  </si>
  <si>
    <t>CAOD1109-A</t>
  </si>
  <si>
    <t>https://greentrace.ice.com/acr/projects/registry/ACR_REGISTRY/project/P2423C9VW523</t>
  </si>
  <si>
    <t>ACR1163</t>
  </si>
  <si>
    <t>CAOD1163</t>
  </si>
  <si>
    <t>Hudson Tech 2025-1</t>
  </si>
  <si>
    <t>CAOD1163-A</t>
  </si>
  <si>
    <t>https://greentrace.ice.com/acr/projects/registry/ACR_REGISTRY/project/P2323C9VW522</t>
  </si>
  <si>
    <t>ACR170</t>
  </si>
  <si>
    <t>CAOD5002</t>
  </si>
  <si>
    <t>ECC ODS Destruction 2012</t>
  </si>
  <si>
    <t>Environmental Credit Corp.</t>
  </si>
  <si>
    <t>SCS Engineers</t>
  </si>
  <si>
    <t>CAOD5002-A</t>
  </si>
  <si>
    <t>https://greentrace.ice.com/acr/projects/registry/ACR_REGISTRY/project/P2423C9VRV23</t>
  </si>
  <si>
    <t>ACR172</t>
  </si>
  <si>
    <t>CAOD5004</t>
  </si>
  <si>
    <t>EOS ARB ODS 2013-2</t>
  </si>
  <si>
    <t>EOS Climate, Inc.</t>
  </si>
  <si>
    <t>NSF International Strategic Registrations, Ltd.</t>
  </si>
  <si>
    <t>CAOD5004-A</t>
  </si>
  <si>
    <t>https://greentrace.ice.com/acr/projects/registry/ACR_REGISTRY/project/P2323C9VWX22</t>
  </si>
  <si>
    <t>ACR176</t>
  </si>
  <si>
    <t>CAOD5013</t>
  </si>
  <si>
    <t>ECC ODS Destruction 2013</t>
  </si>
  <si>
    <t>CAOD5013-A</t>
  </si>
  <si>
    <t>https://greentrace.ice.com/acr/projects/registry/ACR_REGISTRY/project/P2423C9VRW23</t>
  </si>
  <si>
    <t>ACR179</t>
  </si>
  <si>
    <t>CAOD5007</t>
  </si>
  <si>
    <t>Wabashco Clean Sweep 1</t>
  </si>
  <si>
    <t>Wabashco, LLC</t>
  </si>
  <si>
    <t>Ruby Canyon Engineering, Inc.</t>
  </si>
  <si>
    <t>CAOD5007-A</t>
  </si>
  <si>
    <t>https://greentrace.ice.com/acr/projects/registry/ACR_REGISTRY/project/P2423C9VKF26</t>
  </si>
  <si>
    <t>ACR181</t>
  </si>
  <si>
    <t>CAOD5015</t>
  </si>
  <si>
    <t>EOS ARB ODS 2013-6</t>
  </si>
  <si>
    <t>CAOD5015-A</t>
  </si>
  <si>
    <t>https://greentrace.ice.com/acr/projects/registry/ACR_REGISTRY/project/P2423C9VWY23</t>
  </si>
  <si>
    <t>ACR193</t>
  </si>
  <si>
    <t>CAOD5035</t>
  </si>
  <si>
    <t>EOS ARB ODS 2013-7</t>
  </si>
  <si>
    <t>NSF International</t>
  </si>
  <si>
    <t>CAOD5035-A</t>
  </si>
  <si>
    <t>https://greentrace.ice.com/acr/projects/registry/ACR_REGISTRY/project/P2423C9VXK24</t>
  </si>
  <si>
    <t>ACR195</t>
  </si>
  <si>
    <t>CAOD5049</t>
  </si>
  <si>
    <t>EOS ARB ODS 2014-1</t>
  </si>
  <si>
    <t>CAOD5049-A</t>
  </si>
  <si>
    <t>https://greentrace.ice.com/acr/projects/registry/ACR_REGISTRY/project/P2423C9VXL23</t>
  </si>
  <si>
    <t>ACR196</t>
  </si>
  <si>
    <t>CAOD5027</t>
  </si>
  <si>
    <t>RR ACR 2013</t>
  </si>
  <si>
    <t>RapRec Refrigerants, Inc.</t>
  </si>
  <si>
    <t>CAOD5027-A</t>
  </si>
  <si>
    <t>https://greentrace.ice.com/acr/projects/registry/ACR_REGISTRY/project/P2423C9VKP26</t>
  </si>
  <si>
    <t>ambiguous</t>
  </si>
  <si>
    <t xml:space="preserve">Discrepancy: Project listing document just lists refrigerants, and treating the ODPR numbers that way replicates the crediting calculation. However, there are HCFCs in the ODS destroyed table reported in the OPDR. Since they are very small quantities, and don't end up affecting the attribution ratios, we ignore here. </t>
  </si>
  <si>
    <t>ACR198</t>
  </si>
  <si>
    <t>CAOD5031</t>
  </si>
  <si>
    <t>Wabashco Clean Sweep 2</t>
  </si>
  <si>
    <t>CAOD5031-A</t>
  </si>
  <si>
    <t>https://greentrace.ice.com/acr/projects/registry/ACR_REGISTRY/project/P2423C9VPH22</t>
  </si>
  <si>
    <t>ACR206</t>
  </si>
  <si>
    <t>CAOD5052</t>
  </si>
  <si>
    <t>2014-P4</t>
  </si>
  <si>
    <t>CAOD5052-A</t>
  </si>
  <si>
    <t>https://greentrace.ice.com/acr/projects/registry/ACR_REGISTRY/project/P2323C9VXL25</t>
  </si>
  <si>
    <t>ACR208</t>
  </si>
  <si>
    <t>CAOD5056</t>
  </si>
  <si>
    <t>RR ACR 2014</t>
  </si>
  <si>
    <t>CAOD5056-A</t>
  </si>
  <si>
    <t>https://greentrace.ice.com/acr/projects/registry/ACR_REGISTRY/project/P2323C9VKP25</t>
  </si>
  <si>
    <t>ACR213</t>
  </si>
  <si>
    <t>CAOD5068</t>
  </si>
  <si>
    <t>EOS ACR 213</t>
  </si>
  <si>
    <t>CAOD5068-A</t>
  </si>
  <si>
    <t>https://greentrace.ice.com/acr/projects/registry/ACR_REGISTRY/project/P2423C9VXM22</t>
  </si>
  <si>
    <t>ACR214</t>
  </si>
  <si>
    <t>CAOD5069</t>
  </si>
  <si>
    <t>EOS ACR 214</t>
  </si>
  <si>
    <t>CAOD5069-A</t>
  </si>
  <si>
    <t>https://greentrace.ice.com/acr/projects/registry/ACR_REGISTRY/project/P2323C9VY923</t>
  </si>
  <si>
    <t>ACR221</t>
  </si>
  <si>
    <t>CAOD5070</t>
  </si>
  <si>
    <t>Wabashco Clean Sweep 3</t>
  </si>
  <si>
    <t>CAOD5070-A</t>
  </si>
  <si>
    <t>https://greentrace.ice.com/acr/projects/registry/ACR_REGISTRY/project/P2423C9VPH23</t>
  </si>
  <si>
    <t>ACR225</t>
  </si>
  <si>
    <t>CAOD5099</t>
  </si>
  <si>
    <t>Wabashco Clean Sweep 4</t>
  </si>
  <si>
    <t>CAOD5099-A</t>
  </si>
  <si>
    <t>https://greentrace.ice.com/acr/projects/registry/ACR_REGISTRY/project/P2323C9VPJ25</t>
  </si>
  <si>
    <t>ACR240</t>
  </si>
  <si>
    <t>CAOD5140</t>
  </si>
  <si>
    <t>EOS ACR 240</t>
  </si>
  <si>
    <t>CAOD5140-A</t>
  </si>
  <si>
    <t>https://greentrace.ice.com/acr/projects/registry/ACR_REGISTRY/project/P2423C9VWU24</t>
  </si>
  <si>
    <t>ACR244</t>
  </si>
  <si>
    <t>CAOD5177</t>
  </si>
  <si>
    <t>Wabashco Clean Sweep 5</t>
  </si>
  <si>
    <t>CAOD5177-A</t>
  </si>
  <si>
    <t>https://greentrace.ice.com/acr/projects/registry/ACR_REGISTRY/project/P2323C9VPH24</t>
  </si>
  <si>
    <t>ACR252</t>
  </si>
  <si>
    <t>CAOD5188</t>
  </si>
  <si>
    <t>EOS ACR 252</t>
  </si>
  <si>
    <t>CAOD5188-A</t>
  </si>
  <si>
    <t>https://greentrace.ice.com/acr/projects/registry/ACR_REGISTRY/project/P2323C9VXH23</t>
  </si>
  <si>
    <t>ACR253</t>
  </si>
  <si>
    <t>CAOD5189</t>
  </si>
  <si>
    <t>EOS ACR 253</t>
  </si>
  <si>
    <t>CAOD5189-A</t>
  </si>
  <si>
    <t>https://greentrace.ice.com/acr/projects/registry/ACR_REGISTRY/project/P2423C9VXJ24</t>
  </si>
  <si>
    <t>ACR254</t>
  </si>
  <si>
    <t>CAOD5191</t>
  </si>
  <si>
    <t>Wabashco Clean Sweep 6</t>
  </si>
  <si>
    <t>CAOD5191-A</t>
  </si>
  <si>
    <t>https://greentrace.ice.com/acr/projects/registry/ACR_REGISTRY/project/P2323C9VN225</t>
  </si>
  <si>
    <t>ACR271</t>
  </si>
  <si>
    <t>CAOD5211</t>
  </si>
  <si>
    <t>EOS ACR 271</t>
  </si>
  <si>
    <t>CAOD5211-A</t>
  </si>
  <si>
    <t>https://greentrace.ice.com/acr/projects/registry/ACR_REGISTRY/project/P2323C9VXJ25</t>
  </si>
  <si>
    <t>ACR275</t>
  </si>
  <si>
    <t>CAOD5215</t>
  </si>
  <si>
    <t>Wabashco Clean Sweep 7</t>
  </si>
  <si>
    <t>CAOD5215-A</t>
  </si>
  <si>
    <t>https://greentrace.ice.com/acr/projects/registry/ACR_REGISTRY/project/P2423C9VN322</t>
  </si>
  <si>
    <t>ACR285</t>
  </si>
  <si>
    <t>CAOD5216</t>
  </si>
  <si>
    <t>EOS ACR 285</t>
  </si>
  <si>
    <t>CAOD5216-A</t>
  </si>
  <si>
    <t>https://greentrace.ice.com/acr/projects/registry/ACR_REGISTRY/project/P2423C9VY923</t>
  </si>
  <si>
    <t>ACR311</t>
  </si>
  <si>
    <t>CAOD5261</t>
  </si>
  <si>
    <t>EOS ACR 311</t>
  </si>
  <si>
    <t>CAOD5261-A</t>
  </si>
  <si>
    <t>https://greentrace.ice.com/acr/projects/registry/ACR_REGISTRY/project/P2323C9VXK23</t>
  </si>
  <si>
    <t>ACR312</t>
  </si>
  <si>
    <t>CAOD5262</t>
  </si>
  <si>
    <t>EOS ACR 312</t>
  </si>
  <si>
    <t>CAOD5262-A</t>
  </si>
  <si>
    <t>https://greentrace.ice.com/acr/projects/registry/ACR_REGISTRY/project/P2323C9VXQ24</t>
  </si>
  <si>
    <t>ACR314</t>
  </si>
  <si>
    <t>CAOD5264</t>
  </si>
  <si>
    <t>Wabashco Clean Sweep 8</t>
  </si>
  <si>
    <t>CAOD5264-A</t>
  </si>
  <si>
    <t>https://greentrace.ice.com/acr/projects/registry/ACR_REGISTRY/project/P2323C9VN322</t>
  </si>
  <si>
    <t>ACR315</t>
  </si>
  <si>
    <t>CAOD5277</t>
  </si>
  <si>
    <t>EOS ACR 315</t>
  </si>
  <si>
    <t>CAOD5277-A</t>
  </si>
  <si>
    <t>https://greentrace.ice.com/acr/projects/registry/ACR_REGISTRY/project/P2423C9VY825</t>
  </si>
  <si>
    <t>ACR316</t>
  </si>
  <si>
    <t>CAOD5278</t>
  </si>
  <si>
    <t>EOS ACR 316</t>
  </si>
  <si>
    <t>CAOD5278-A</t>
  </si>
  <si>
    <t>https://greentrace.ice.com/acr/projects/registry/ACR_REGISTRY/project/P2423C9VY826</t>
  </si>
  <si>
    <t>ACR343</t>
  </si>
  <si>
    <t>CAOD5343</t>
  </si>
  <si>
    <t>Wabashco Clean Sweep 9</t>
  </si>
  <si>
    <t>CAOD5343-A</t>
  </si>
  <si>
    <t>https://greentrace.ice.com/acr/projects/registry/ACR_REGISTRY/project/P2323C9VP523</t>
  </si>
  <si>
    <t>ACR350</t>
  </si>
  <si>
    <t>CAOD5350</t>
  </si>
  <si>
    <t>Tradewater ODS 1</t>
  </si>
  <si>
    <t>CAOD5350-A</t>
  </si>
  <si>
    <t>https://greentrace.ice.com/acr/projects/registry/ACR_REGISTRY/project/P2423C9VMB22</t>
  </si>
  <si>
    <t>ACR351</t>
  </si>
  <si>
    <t>CAOD5351</t>
  </si>
  <si>
    <t>EOS ACR 351</t>
  </si>
  <si>
    <t>CAOD5351-A</t>
  </si>
  <si>
    <t>https://greentrace.ice.com/acr/projects/registry/ACR_REGISTRY/project/P2423C9VVY23</t>
  </si>
  <si>
    <t>ACR352</t>
  </si>
  <si>
    <t>CAOD5352</t>
  </si>
  <si>
    <t>EOS ACR 352</t>
  </si>
  <si>
    <t>CAOD5352-A</t>
  </si>
  <si>
    <t>https://greentrace.ice.com/acr/projects/registry/ACR_REGISTRY/project/P2323C9VVZ22</t>
  </si>
  <si>
    <t>ACR354</t>
  </si>
  <si>
    <t>CAOD5354</t>
  </si>
  <si>
    <t>Tradewater ODS 2</t>
  </si>
  <si>
    <t>CAOD5354-A</t>
  </si>
  <si>
    <t>https://greentrace.ice.com/acr/projects/registry/ACR_REGISTRY/project/P2323C9VLZ24</t>
  </si>
  <si>
    <t>ACR356</t>
  </si>
  <si>
    <t>CAOD5356</t>
  </si>
  <si>
    <t>EOS ACR 356</t>
  </si>
  <si>
    <t>CAOD5356-A</t>
  </si>
  <si>
    <t>https://greentrace.ice.com/acr/projects/registry/ACR_REGISTRY/project/P2323C9VVZ23</t>
  </si>
  <si>
    <t>ACR357</t>
  </si>
  <si>
    <t>CAOD5357</t>
  </si>
  <si>
    <t>EOS ACR 357</t>
  </si>
  <si>
    <t>CAOD5357-A</t>
  </si>
  <si>
    <t>https://greentrace.ice.com/acr/projects/registry/ACR_REGISTRY/project/P2423C9VW223</t>
  </si>
  <si>
    <t>ACR358</t>
  </si>
  <si>
    <t>CAOD5358</t>
  </si>
  <si>
    <t>EOS ACR 358</t>
  </si>
  <si>
    <t>CAOD5358-A</t>
  </si>
  <si>
    <t>https://greentrace.ice.com/acr/projects/registry/ACR_REGISTRY/project/P2423C9VW224</t>
  </si>
  <si>
    <t>ACR359</t>
  </si>
  <si>
    <t>CAOD5359</t>
  </si>
  <si>
    <t>Tradewater ODS 3</t>
  </si>
  <si>
    <t>CAOD5359-A</t>
  </si>
  <si>
    <t>https://greentrace.ice.com/acr/projects/registry/ACR_REGISTRY/project/P2423C9VMC25</t>
  </si>
  <si>
    <t>ACR363</t>
  </si>
  <si>
    <t>CAOD5363</t>
  </si>
  <si>
    <t>Tradewater ODS 4</t>
  </si>
  <si>
    <t>CAOD5363-A</t>
  </si>
  <si>
    <t>https://greentrace.ice.com/acr/projects/registry/ACR_REGISTRY/project/P2323C9VMC22</t>
  </si>
  <si>
    <t>ACR370</t>
  </si>
  <si>
    <t>CAOD5370</t>
  </si>
  <si>
    <t>Tradewater ODS 5</t>
  </si>
  <si>
    <t>CAOD5370-A</t>
  </si>
  <si>
    <t>https://greentrace.ice.com/acr/projects/registry/ACR_REGISTRY/project/P2423C9VLF24</t>
  </si>
  <si>
    <t>ACR379</t>
  </si>
  <si>
    <t>CAOD5379</t>
  </si>
  <si>
    <t>Tradewater ODS 6</t>
  </si>
  <si>
    <t>CAOD5379-A</t>
  </si>
  <si>
    <t>https://greentrace.ice.com/acr/projects/registry/ACR_REGISTRY/project/P2323C9VMC23</t>
  </si>
  <si>
    <t>ACR383</t>
  </si>
  <si>
    <t>CAOD5383</t>
  </si>
  <si>
    <t>Tradewater ODS 7</t>
  </si>
  <si>
    <t>CAOD5383-A</t>
  </si>
  <si>
    <t>https://greentrace.ice.com/acr/projects/registry/ACR_REGISTRY/project/P2323C9VNE25</t>
  </si>
  <si>
    <t>ACR385</t>
  </si>
  <si>
    <t>CAOD5385</t>
  </si>
  <si>
    <t>Tradewater ODS 8</t>
  </si>
  <si>
    <t>CAOD5385-A</t>
  </si>
  <si>
    <t>https://greentrace.ice.com/acr/projects/registry/ACR_REGISTRY/project/P2323C9VMD25</t>
  </si>
  <si>
    <t>ACR387</t>
  </si>
  <si>
    <t>CAOD5387</t>
  </si>
  <si>
    <t>Tradewater ODS 9</t>
  </si>
  <si>
    <t>CAOD5387-A</t>
  </si>
  <si>
    <t>https://greentrace.ice.com/acr/projects/registry/ACR_REGISTRY/project/P2423C9VMD24</t>
  </si>
  <si>
    <t>ACR401</t>
  </si>
  <si>
    <t>CAOD5401</t>
  </si>
  <si>
    <t>Tradewater ODS 10</t>
  </si>
  <si>
    <t>CAOD5401-A</t>
  </si>
  <si>
    <t>https://greentrace.ice.com/acr/projects/registry/ACR_REGISTRY/project/P2423C9VNB22</t>
  </si>
  <si>
    <t>ACR404</t>
  </si>
  <si>
    <t>CAOD5404</t>
  </si>
  <si>
    <t>Tradewater ODS 11</t>
  </si>
  <si>
    <t>CAOD5404-A</t>
  </si>
  <si>
    <t>https://greentrace.ice.com/acr/projects/registry/ACR_REGISTRY/project/P2423C9VME25</t>
  </si>
  <si>
    <t>ACR419</t>
  </si>
  <si>
    <t>CAOD5419</t>
  </si>
  <si>
    <t>Tradewater ODS 12</t>
  </si>
  <si>
    <t>CAOD5419-A</t>
  </si>
  <si>
    <t>https://greentrace.ice.com/acr/projects/registry/ACR_REGISTRY/project/P2323C9VME24</t>
  </si>
  <si>
    <t>ACR426</t>
  </si>
  <si>
    <t>CAOD5426</t>
  </si>
  <si>
    <t>Tradewater ODS 13</t>
  </si>
  <si>
    <t>CAOD5426-A</t>
  </si>
  <si>
    <t>https://greentrace.ice.com/acr/projects/registry/ACR_REGISTRY/project/P2423C9VMF24</t>
  </si>
  <si>
    <t>ACR429</t>
  </si>
  <si>
    <t>CAOD5429</t>
  </si>
  <si>
    <t>Tradewater ODS 14</t>
  </si>
  <si>
    <t>CAOD5429-A</t>
  </si>
  <si>
    <t>https://greentrace.ice.com/acr/projects/registry/ACR_REGISTRY/project/P2323C9VMF22</t>
  </si>
  <si>
    <t>ACR431</t>
  </si>
  <si>
    <t>CAOD5431</t>
  </si>
  <si>
    <t>Tradewater ODS 15</t>
  </si>
  <si>
    <t>CAOD5431-A</t>
  </si>
  <si>
    <t>https://greentrace.ice.com/acr/projects/registry/ACR_REGISTRY/project/P2423C9VMF25</t>
  </si>
  <si>
    <t>ACR432</t>
  </si>
  <si>
    <t>CAOD5432</t>
  </si>
  <si>
    <t>Hudson Tech 2018-1</t>
  </si>
  <si>
    <t>CAOD5432-A</t>
  </si>
  <si>
    <t>https://greentrace.ice.com/acr/projects/registry/ACR_REGISTRY/project/P2423C9VU724</t>
  </si>
  <si>
    <t>ACR433</t>
  </si>
  <si>
    <t>CAOD5433</t>
  </si>
  <si>
    <t>Tradewater ODS 16</t>
  </si>
  <si>
    <t>CAOD5433-A</t>
  </si>
  <si>
    <t>https://greentrace.ice.com/acr/projects/registry/ACR_REGISTRY/project/P2323C9VMG25</t>
  </si>
  <si>
    <t>ACR435</t>
  </si>
  <si>
    <t>CAOD5435</t>
  </si>
  <si>
    <t>Tradewater ODS 17</t>
  </si>
  <si>
    <t>CAOD5435-A</t>
  </si>
  <si>
    <t>https://greentrace.ice.com/acr/projects/registry/ACR_REGISTRY/project/P2423C9VMG22</t>
  </si>
  <si>
    <t>ACR436</t>
  </si>
  <si>
    <t>CAOD5436</t>
  </si>
  <si>
    <t>Tradewater ODS 18</t>
  </si>
  <si>
    <t>CAOD5436-A</t>
  </si>
  <si>
    <t>https://greentrace.ice.com/acr/projects/registry/ACR_REGISTRY/project/P2323C9VMH24</t>
  </si>
  <si>
    <t>ACR442</t>
  </si>
  <si>
    <t>CAOD5442</t>
  </si>
  <si>
    <t>Coolgas 2019-2</t>
  </si>
  <si>
    <t>Coolgas, Inc.</t>
  </si>
  <si>
    <t>CAOD5442-A</t>
  </si>
  <si>
    <t>https://greentrace.ice.com/acr/projects/registry/ACR_REGISTRY/project/P2423C9VSZ24</t>
  </si>
  <si>
    <t>ACR443</t>
  </si>
  <si>
    <t>CAOD5443</t>
  </si>
  <si>
    <t>A-Gas 2019-3</t>
  </si>
  <si>
    <t>Reclamation Technologies, Inc.</t>
  </si>
  <si>
    <t>CAOD5443-A</t>
  </si>
  <si>
    <t>https://greentrace.ice.com/acr/projects/registry/ACR_REGISTRY/project/P2423C9VTT22</t>
  </si>
  <si>
    <t>ACR444</t>
  </si>
  <si>
    <t>CAOD5444</t>
  </si>
  <si>
    <t>A-Gas 2019-4</t>
  </si>
  <si>
    <t>CAOD5444-A</t>
  </si>
  <si>
    <t>https://greentrace.ice.com/acr/projects/registry/ACR_REGISTRY/project/P2423C9VU725</t>
  </si>
  <si>
    <t>ACR445</t>
  </si>
  <si>
    <t>CAOD5445</t>
  </si>
  <si>
    <t>Hudson Tech 2019-1</t>
  </si>
  <si>
    <t>CAOD5445-A</t>
  </si>
  <si>
    <t>https://greentrace.ice.com/acr/projects/registry/ACR_REGISTRY/project/P2323C9VVH26</t>
  </si>
  <si>
    <t>ACR461</t>
  </si>
  <si>
    <t>CAOD5461</t>
  </si>
  <si>
    <t>Tradewater ODS 19</t>
  </si>
  <si>
    <t>CAOD5461-A</t>
  </si>
  <si>
    <t>https://greentrace.ice.com/acr/projects/registry/ACR_REGISTRY/project/P2423C9VMH25</t>
  </si>
  <si>
    <t>ACR468</t>
  </si>
  <si>
    <t>CAOD5468</t>
  </si>
  <si>
    <t>Tradewater ODS 20</t>
  </si>
  <si>
    <t>CAOD5468-A</t>
  </si>
  <si>
    <t>https://greentrace.ice.com/acr/projects/registry/ACR_REGISTRY/project/P2323C9VMJ24</t>
  </si>
  <si>
    <t>ACR469</t>
  </si>
  <si>
    <t>CAOD5469</t>
  </si>
  <si>
    <t>Hudson Tech 2019-2</t>
  </si>
  <si>
    <t>CAOD5469-A</t>
  </si>
  <si>
    <t>https://greentrace.ice.com/acr/projects/registry/ACR_REGISTRY/project/P2423C9VX623</t>
  </si>
  <si>
    <t>ACR471</t>
  </si>
  <si>
    <t>CAOD5471</t>
  </si>
  <si>
    <t>Tradewater ODS 21</t>
  </si>
  <si>
    <t>CAOD5471-A</t>
  </si>
  <si>
    <t>https://greentrace.ice.com/acr/projects/registry/ACR_REGISTRY/project/P2423C9VM223</t>
  </si>
  <si>
    <t>ACR472</t>
  </si>
  <si>
    <t>CAOD5472</t>
  </si>
  <si>
    <t>Tradewater ODS 22</t>
  </si>
  <si>
    <t>CAOD5472-A</t>
  </si>
  <si>
    <t>https://greentrace.ice.com/acr/projects/registry/ACR_REGISTRY/project/P2323C9VM225</t>
  </si>
  <si>
    <t>ACR473</t>
  </si>
  <si>
    <t>CAOD5473</t>
  </si>
  <si>
    <t>A-Gas 2019-5</t>
  </si>
  <si>
    <t>GHD Services, Inc.</t>
  </si>
  <si>
    <t>CAOD5473-A</t>
  </si>
  <si>
    <t>https://greentrace.ice.com/acr/projects/registry/ACR_REGISTRY/project/P2323C9VUJ25</t>
  </si>
  <si>
    <t>ACR474</t>
  </si>
  <si>
    <t>CAOD5474</t>
  </si>
  <si>
    <t>A-Gas 2019-6</t>
  </si>
  <si>
    <t>CAOD5474-A</t>
  </si>
  <si>
    <t>https://greentrace.ice.com/acr/projects/registry/ACR_REGISTRY/project/P2323C9VUK23</t>
  </si>
  <si>
    <t>ACR475</t>
  </si>
  <si>
    <t>CAOD5475</t>
  </si>
  <si>
    <t>A-Gas 2019-7</t>
  </si>
  <si>
    <t>CAOD5475-A</t>
  </si>
  <si>
    <t>https://greentrace.ice.com/acr/projects/registry/ACR_REGISTRY/project/P2323C9VTZ25</t>
  </si>
  <si>
    <t>ACR482</t>
  </si>
  <si>
    <t>CAOD5482</t>
  </si>
  <si>
    <t>Tradewater ODS 23</t>
  </si>
  <si>
    <t>CAOD5482-A</t>
  </si>
  <si>
    <t>https://greentrace.ice.com/acr/projects/registry/ACR_REGISTRY/project/P2423C9VNF23</t>
  </si>
  <si>
    <t>ACR488</t>
  </si>
  <si>
    <t>CAOD5488</t>
  </si>
  <si>
    <t>Tradewater ODS 24</t>
  </si>
  <si>
    <t>CAOD5488-A</t>
  </si>
  <si>
    <t>https://greentrace.ice.com/acr/projects/registry/ACR_REGISTRY/project/P2323C9VM322</t>
  </si>
  <si>
    <t>ACR492</t>
  </si>
  <si>
    <t>CAOD5492</t>
  </si>
  <si>
    <t>Tradewater ODS 25</t>
  </si>
  <si>
    <t>CAOD5492-A</t>
  </si>
  <si>
    <t>https://greentrace.ice.com/acr/projects/registry/ACR_REGISTRY/project/P2423C9VMJ23</t>
  </si>
  <si>
    <t>ACR495</t>
  </si>
  <si>
    <t>CAOD5495</t>
  </si>
  <si>
    <t>Tradewater ODS 26</t>
  </si>
  <si>
    <t>CAOD5495-A</t>
  </si>
  <si>
    <t>https://greentrace.ice.com/acr/projects/registry/ACR_REGISTRY/project/P2323C9VMK23</t>
  </si>
  <si>
    <t>ACR496</t>
  </si>
  <si>
    <t>CAOD5496</t>
  </si>
  <si>
    <t>A-Gas 2019-Misc</t>
  </si>
  <si>
    <t>CAOD5496-A</t>
  </si>
  <si>
    <t>https://greentrace.ice.com/acr/projects/registry/ACR_REGISTRY/project/P2323C9VTQ22</t>
  </si>
  <si>
    <t>ACR497</t>
  </si>
  <si>
    <t>CAOD5497</t>
  </si>
  <si>
    <t>A-Gas 2019-8</t>
  </si>
  <si>
    <t>CAOD5497-A</t>
  </si>
  <si>
    <t>https://greentrace.ice.com/acr/projects/registry/ACR_REGISTRY/project/P2323C9VTW22</t>
  </si>
  <si>
    <t>ACR500</t>
  </si>
  <si>
    <t>CAOD5500</t>
  </si>
  <si>
    <t>Tradewater ODS 27</t>
  </si>
  <si>
    <t>CAOD5500-A</t>
  </si>
  <si>
    <t>https://greentrace.ice.com/acr/projects/registry/ACR_REGISTRY/project/P2323C9VNF24</t>
  </si>
  <si>
    <t>ACR503</t>
  </si>
  <si>
    <t>CAOD5503</t>
  </si>
  <si>
    <t>A-Gas 2019-9</t>
  </si>
  <si>
    <t>CAOD5503-A</t>
  </si>
  <si>
    <t>https://greentrace.ice.com/acr/projects/registry/ACR_REGISTRY/project/P2423C9VTW23</t>
  </si>
  <si>
    <t>ACR510</t>
  </si>
  <si>
    <t>CAOD5510</t>
  </si>
  <si>
    <t>Hudson Tech 2019-6</t>
  </si>
  <si>
    <t>CAOD5510-A</t>
  </si>
  <si>
    <t>https://greentrace.ice.com/acr/projects/registry/ACR_REGISTRY/project/P2423C9VTH25</t>
  </si>
  <si>
    <t>ACR517</t>
  </si>
  <si>
    <t>CAOD5517</t>
  </si>
  <si>
    <t>Tradewater ODS 28</t>
  </si>
  <si>
    <t>CAOD5517-A</t>
  </si>
  <si>
    <t>https://greentrace.ice.com/acr/projects/registry/ACR_REGISTRY/project/P2423C9VNG24</t>
  </si>
  <si>
    <t>ACR520</t>
  </si>
  <si>
    <t>CAOD5520</t>
  </si>
  <si>
    <t>Tradewater ODS 29</t>
  </si>
  <si>
    <t>CAOD5520-A</t>
  </si>
  <si>
    <t>https://greentrace.ice.com/acr/projects/registry/ACR_REGISTRY/project/P2423C9VMK22</t>
  </si>
  <si>
    <t>ACR521</t>
  </si>
  <si>
    <t>CAOD5521</t>
  </si>
  <si>
    <t>A-Gas 1-2020</t>
  </si>
  <si>
    <t>CAOD5521-A</t>
  </si>
  <si>
    <t>https://greentrace.ice.com/acr/projects/registry/ACR_REGISTRY/project/P2423C9VUA25</t>
  </si>
  <si>
    <t>ACR522</t>
  </si>
  <si>
    <t>CAOD5522</t>
  </si>
  <si>
    <t>A-Gas 2-2020</t>
  </si>
  <si>
    <t>Ruby Canyon Environmental, Inc.</t>
  </si>
  <si>
    <t>CAOD5522-A</t>
  </si>
  <si>
    <t>https://greentrace.ice.com/acr/projects/registry/ACR_REGISTRY/project/P2323C9VUC22</t>
  </si>
  <si>
    <t>ACR523</t>
  </si>
  <si>
    <t>CAOD5523</t>
  </si>
  <si>
    <t>Hudson Tech 2019-7</t>
  </si>
  <si>
    <t>CAOD5523-A</t>
  </si>
  <si>
    <t>https://greentrace.ice.com/acr/projects/registry/ACR_REGISTRY/project/P2323C9VXY26</t>
  </si>
  <si>
    <t>ACR532</t>
  </si>
  <si>
    <t>CAOD5532</t>
  </si>
  <si>
    <t>Tradewater ODS 30</t>
  </si>
  <si>
    <t>CAOD5532-A</t>
  </si>
  <si>
    <t>https://greentrace.ice.com/acr/projects/registry/ACR_REGISTRY/project/P2323C9VNG23</t>
  </si>
  <si>
    <t>ACR533</t>
  </si>
  <si>
    <t>CAOD5533</t>
  </si>
  <si>
    <t>A-Gas 3-2020</t>
  </si>
  <si>
    <t>CAOD5533-A</t>
  </si>
  <si>
    <t>https://greentrace.ice.com/acr/projects/registry/ACR_REGISTRY/project/P2423C9VTQ24</t>
  </si>
  <si>
    <t>ACR535</t>
  </si>
  <si>
    <t>CAOD5535</t>
  </si>
  <si>
    <t>Hudson Tech 2020-1</t>
  </si>
  <si>
    <t>CAOD5535-A</t>
  </si>
  <si>
    <t>https://greentrace.ice.com/acr/projects/registry/ACR_REGISTRY/project/P2423C9VVU26</t>
  </si>
  <si>
    <t>ACR536</t>
  </si>
  <si>
    <t>CAOD5536</t>
  </si>
  <si>
    <t>Tradewater ODS 31</t>
  </si>
  <si>
    <t>CAOD5536-A</t>
  </si>
  <si>
    <t>https://greentrace.ice.com/acr/projects/registry/ACR_REGISTRY/project/P2323C9VMK24</t>
  </si>
  <si>
    <t>ACR538</t>
  </si>
  <si>
    <t>CAOD5538</t>
  </si>
  <si>
    <t>Hudson Tech 2020-2</t>
  </si>
  <si>
    <t>CAOD5538-A</t>
  </si>
  <si>
    <t>https://greentrace.ice.com/acr/projects/registry/ACR_REGISTRY/project/P2423C9VVV25</t>
  </si>
  <si>
    <t>ACR543</t>
  </si>
  <si>
    <t>CAOD5543</t>
  </si>
  <si>
    <t>Tradewater ODS 32</t>
  </si>
  <si>
    <t>CAOD5543-A</t>
  </si>
  <si>
    <t>https://greentrace.ice.com/acr/projects/registry/ACR_REGISTRY/project/P2323C9VNX26</t>
  </si>
  <si>
    <t>ACR547</t>
  </si>
  <si>
    <t>CAOD5547</t>
  </si>
  <si>
    <t>Tradewater ODS 33</t>
  </si>
  <si>
    <t>CAOD5547-A</t>
  </si>
  <si>
    <t>https://greentrace.ice.com/acr/projects/registry/ACR_REGISTRY/project/P2323C9VN623</t>
  </si>
  <si>
    <t>ACR550</t>
  </si>
  <si>
    <t>CAOD5550</t>
  </si>
  <si>
    <t>Hudson Tech 2020-3</t>
  </si>
  <si>
    <t>CAOD5550-A</t>
  </si>
  <si>
    <t>https://greentrace.ice.com/acr/projects/registry/ACR_REGISTRY/project/P2423C9VTN22</t>
  </si>
  <si>
    <t>ACR561</t>
  </si>
  <si>
    <t>CAOD5561</t>
  </si>
  <si>
    <t>Tradewater ODS 34</t>
  </si>
  <si>
    <t>CAOD5561-A</t>
  </si>
  <si>
    <t>https://greentrace.ice.com/acr/projects/registry/ACR_REGISTRY/project/P2323C9VNB23</t>
  </si>
  <si>
    <t>ACR577</t>
  </si>
  <si>
    <t>CAOD5577</t>
  </si>
  <si>
    <t>Tradewater ODS 35</t>
  </si>
  <si>
    <t>CAOD5577-A</t>
  </si>
  <si>
    <t>https://greentrace.ice.com/acr/projects/registry/ACR_REGISTRY/project/P2323C9VNY25</t>
  </si>
  <si>
    <t>ACR582</t>
  </si>
  <si>
    <t>CAOD5582</t>
  </si>
  <si>
    <t>Hudson Tech 2020-4</t>
  </si>
  <si>
    <t>CAOD5582-A</t>
  </si>
  <si>
    <t>https://greentrace.ice.com/acr/projects/registry/ACR_REGISTRY/project/P2423C9VUH22</t>
  </si>
  <si>
    <t>ACR589</t>
  </si>
  <si>
    <t>CAOD5589</t>
  </si>
  <si>
    <t>Tradewater ODS 36</t>
  </si>
  <si>
    <t>CAOD5589-A</t>
  </si>
  <si>
    <t>https://greentrace.ice.com/acr/projects/registry/ACR_REGISTRY/project/P2423C9VNG25</t>
  </si>
  <si>
    <t>ACR608</t>
  </si>
  <si>
    <t>CAOD5608</t>
  </si>
  <si>
    <t>Tradewater ODS 37</t>
  </si>
  <si>
    <t>CAOD5608-A</t>
  </si>
  <si>
    <t>https://greentrace.ice.com/acr/projects/registry/ACR_REGISTRY/project/P2423C9VMS25</t>
  </si>
  <si>
    <t>ACR619</t>
  </si>
  <si>
    <t>CAOD5619</t>
  </si>
  <si>
    <t>Hudson Tech 2021-1</t>
  </si>
  <si>
    <t>CAOD5619-A</t>
  </si>
  <si>
    <t>https://greentrace.ice.com/acr/projects/registry/ACR_REGISTRY/project/P2323C9VXA24</t>
  </si>
  <si>
    <t>ACR625</t>
  </si>
  <si>
    <t>CAOD5625</t>
  </si>
  <si>
    <t>Tradewater ODS 38</t>
  </si>
  <si>
    <t>CAOD5625-A</t>
  </si>
  <si>
    <t>https://greentrace.ice.com/acr/projects/registry/ACR_REGISTRY/project/P2323C9VNH25</t>
  </si>
  <si>
    <t>ACR627</t>
  </si>
  <si>
    <t>CAOD5627</t>
  </si>
  <si>
    <t>Tradewater ODS 39</t>
  </si>
  <si>
    <t>CAOD5627-A</t>
  </si>
  <si>
    <t>https://greentrace.ice.com/acr/projects/registry/ACR_REGISTRY/project/P2323C9VMM22</t>
  </si>
  <si>
    <t>ACR636</t>
  </si>
  <si>
    <t>CAOD5636</t>
  </si>
  <si>
    <t>Tradewater ODS 40</t>
  </si>
  <si>
    <t>CAOD5636-A</t>
  </si>
  <si>
    <t>https://greentrace.ice.com/acr/projects/registry/ACR_REGISTRY/project/P2423C9VNC24</t>
  </si>
  <si>
    <t>ACR645</t>
  </si>
  <si>
    <t>CAOD5645</t>
  </si>
  <si>
    <t>Tradewater ODS 41</t>
  </si>
  <si>
    <t>CAOD5645-A</t>
  </si>
  <si>
    <t>https://greentrace.ice.com/acr/projects/registry/ACR_REGISTRY/project/P2423C9VMM22</t>
  </si>
  <si>
    <t>ACR649</t>
  </si>
  <si>
    <t>CAOD5649</t>
  </si>
  <si>
    <t>Hudson Tech 2021-2</t>
  </si>
  <si>
    <t>CAOD5649-A</t>
  </si>
  <si>
    <t>https://greentrace.ice.com/acr/projects/registry/ACR_REGISTRY/project/P2423C9VXZ24</t>
  </si>
  <si>
    <t>ACR666</t>
  </si>
  <si>
    <t>CAOD5666</t>
  </si>
  <si>
    <t>Tradewater ODS 42</t>
  </si>
  <si>
    <t>CAOD5666-A</t>
  </si>
  <si>
    <t>https://greentrace.ice.com/acr/projects/registry/ACR_REGISTRY/project/P2423C9VMM23</t>
  </si>
  <si>
    <t>ACR671</t>
  </si>
  <si>
    <t>CAOD5671</t>
  </si>
  <si>
    <t>Tradewater ODS 43</t>
  </si>
  <si>
    <t>CAOD5671-A</t>
  </si>
  <si>
    <t>https://greentrace.ice.com/acr/projects/registry/ACR_REGISTRY/project/P2323C9VNC24</t>
  </si>
  <si>
    <t>ACR686</t>
  </si>
  <si>
    <t>CAOD5686</t>
  </si>
  <si>
    <t>Tradewater ODS 44</t>
  </si>
  <si>
    <t>CAOD5686-A</t>
  </si>
  <si>
    <t>https://greentrace.ice.com/acr/projects/registry/ACR_REGISTRY/project/P2423C9VNH22</t>
  </si>
  <si>
    <t>ACR692</t>
  </si>
  <si>
    <t>CAOD5692</t>
  </si>
  <si>
    <t>Hudson Tech 2021-3</t>
  </si>
  <si>
    <t>CAOD5692-A</t>
  </si>
  <si>
    <t>https://greentrace.ice.com/acr/projects/registry/ACR_REGISTRY/project/P2423C9VXZ23</t>
  </si>
  <si>
    <t>ACR744</t>
  </si>
  <si>
    <t>CAOD5744</t>
  </si>
  <si>
    <t>Tradewater ODS 45</t>
  </si>
  <si>
    <t>CAOD5744-A</t>
  </si>
  <si>
    <t>https://greentrace.ice.com/acr/projects/registry/ACR_REGISTRY/project/P2323C9VMN23</t>
  </si>
  <si>
    <t>ACR755</t>
  </si>
  <si>
    <t>CAOD5755</t>
  </si>
  <si>
    <t>Hudson Tech 2022-1</t>
  </si>
  <si>
    <t>CAOD5755-A</t>
  </si>
  <si>
    <t>https://greentrace.ice.com/acr/projects/registry/ACR_REGISTRY/project/P2423C9VY323</t>
  </si>
  <si>
    <t>ACR762</t>
  </si>
  <si>
    <t>CAOD5762</t>
  </si>
  <si>
    <t>Tradewater ODS 46</t>
  </si>
  <si>
    <t>CAOD5762-A</t>
  </si>
  <si>
    <t>https://greentrace.ice.com/acr/projects/registry/ACR_REGISTRY/project/P2423C9VND25</t>
  </si>
  <si>
    <t>ACR780</t>
  </si>
  <si>
    <t>CAOD5780</t>
  </si>
  <si>
    <t>Tradewater ODS 47</t>
  </si>
  <si>
    <t>CAOD5780-A</t>
  </si>
  <si>
    <t>https://greentrace.ice.com/acr/projects/registry/ACR_REGISTRY/project/P2323C9VNV24</t>
  </si>
  <si>
    <t>ACR810</t>
  </si>
  <si>
    <t>CAOD5810</t>
  </si>
  <si>
    <t>Hudson Tech 2022-2</t>
  </si>
  <si>
    <t>CAOD5810-A</t>
  </si>
  <si>
    <t>https://greentrace.ice.com/acr/projects/registry/ACR_REGISTRY/project/P2423C9VX622</t>
  </si>
  <si>
    <t>ACR826</t>
  </si>
  <si>
    <t>CAOD5826</t>
  </si>
  <si>
    <t>Tradewater ODS 48</t>
  </si>
  <si>
    <t>CAOD5826-A</t>
  </si>
  <si>
    <t>https://greentrace.ice.com/acr/projects/registry/ACR_REGISTRY/project/P2323C9VND22</t>
  </si>
  <si>
    <t>ACR872</t>
  </si>
  <si>
    <t>CAOD5872</t>
  </si>
  <si>
    <t>Tradewater ODS 49</t>
  </si>
  <si>
    <t>CAOD5872-A</t>
  </si>
  <si>
    <t>https://greentrace.ice.com/acr/projects/registry/ACR_REGISTRY/project/P2423C9VLN23</t>
  </si>
  <si>
    <t>ACR877</t>
  </si>
  <si>
    <t>CAOD5877</t>
  </si>
  <si>
    <t>Hudson Tech 2023-1</t>
  </si>
  <si>
    <t>CAOD5877-A</t>
  </si>
  <si>
    <t>https://greentrace.ice.com/acr/projects/registry/ACR_REGISTRY/project/P2323C9VYM22</t>
  </si>
  <si>
    <t>ACR884</t>
  </si>
  <si>
    <t>CAOD5884</t>
  </si>
  <si>
    <t>Tradewater ODS 50</t>
  </si>
  <si>
    <t>CAOD5884-A</t>
  </si>
  <si>
    <t>https://greentrace.ice.com/acr/projects/registry/ACR_REGISTRY/project/P2423C9VMX24</t>
  </si>
  <si>
    <t>yes</t>
  </si>
  <si>
    <t>Exclusion: This issuance is not associated with a public OPDR.</t>
  </si>
  <si>
    <t>ACR921</t>
  </si>
  <si>
    <t>CAOD5921</t>
  </si>
  <si>
    <t>Hudson Tech 2023-2</t>
  </si>
  <si>
    <t>CAOD5921-A</t>
  </si>
  <si>
    <t>https://greentrace.ice.com/acr/projects/registry/ACR_REGISTRY/project/P2323C9VYN24</t>
  </si>
  <si>
    <t>ACR947</t>
  </si>
  <si>
    <t>CAOD5947</t>
  </si>
  <si>
    <t>Hudson Tech 2023-3</t>
  </si>
  <si>
    <t>CAOD5947-A</t>
  </si>
  <si>
    <t>https://greentrace.ice.com/acr/projects/registry/ACR_REGISTRY/project/P2423C9VYN23</t>
  </si>
  <si>
    <t>CAR1000</t>
  </si>
  <si>
    <t>CAOD5009</t>
  </si>
  <si>
    <t>EOS ARB ODS 2013-5</t>
  </si>
  <si>
    <t>CAOD5009-A</t>
  </si>
  <si>
    <t>https://thereserve2.apx.com/mymodule/reg/prjView.asp?id1=1000</t>
  </si>
  <si>
    <t>CAR1011</t>
  </si>
  <si>
    <t>CAOD5018</t>
  </si>
  <si>
    <t>A-GAS RemTec 2013-1</t>
  </si>
  <si>
    <t>CAOD5018-A</t>
  </si>
  <si>
    <t>https://thereserve2.apx.com/mymodule/reg/prjView.asp?id1=1011</t>
  </si>
  <si>
    <t>CAR1012</t>
  </si>
  <si>
    <t>CAOD5022</t>
  </si>
  <si>
    <t>DPC Domestic ODS Destruction Project #14</t>
  </si>
  <si>
    <t>Diversified Pure Chem, LLC</t>
  </si>
  <si>
    <t>CAOD5022-A</t>
  </si>
  <si>
    <t>https://thereserve2.apx.com/mymodule/reg/prjView.asp?id1=1012</t>
  </si>
  <si>
    <t>CAR1016</t>
  </si>
  <si>
    <t>CAOD5024</t>
  </si>
  <si>
    <t>DPC Domestic ODS Destruction Project #15</t>
  </si>
  <si>
    <t>CAOD5024-A</t>
  </si>
  <si>
    <t>https://thereserve2.apx.com/mymodule/reg/prjView.asp?id1=1016</t>
  </si>
  <si>
    <t>CAR1021</t>
  </si>
  <si>
    <t>CAOD5048</t>
  </si>
  <si>
    <t>EOS ARB ODS 2013-8</t>
  </si>
  <si>
    <t>CAOD5048-A</t>
  </si>
  <si>
    <t>https://thereserve2.apx.com/mymodule/reg/prjView.asp?id1=1021</t>
  </si>
  <si>
    <t>CAR1025</t>
  </si>
  <si>
    <t>CAOD5026</t>
  </si>
  <si>
    <t>DPC Domestic ODS Destruction Project #16</t>
  </si>
  <si>
    <t>CAOD5026-A</t>
  </si>
  <si>
    <t>https://thereserve2.apx.com/mymodule/reg/prjView.asp?id1=1025</t>
  </si>
  <si>
    <t>CAR1026</t>
  </si>
  <si>
    <t>CAOD5065</t>
  </si>
  <si>
    <t>EOS ARB ODS 2014-2</t>
  </si>
  <si>
    <t>CAOD5065-A</t>
  </si>
  <si>
    <t>https://thereserve2.apx.com/mymodule/reg/prjView.asp?id1=1026</t>
  </si>
  <si>
    <t>CAR1029</t>
  </si>
  <si>
    <t>CAOD5033</t>
  </si>
  <si>
    <t>ECC ODS Destruction 11-2013</t>
  </si>
  <si>
    <t>CAOD5033-A</t>
  </si>
  <si>
    <t>https://thereserve2.apx.com/mymodule/reg/prjView.asp?id1=1029</t>
  </si>
  <si>
    <t>CAR1047</t>
  </si>
  <si>
    <t>CAOD5036</t>
  </si>
  <si>
    <t>DPC Domestic ODS Destruction Project #17</t>
  </si>
  <si>
    <t>CAOD5036-A</t>
  </si>
  <si>
    <t>https://thereserve2.apx.com/mymodule/reg/prjView.asp?id1=1047</t>
  </si>
  <si>
    <t>CAR1051</t>
  </si>
  <si>
    <t>CAOD5039</t>
  </si>
  <si>
    <t>A-GAS RemTec 2013-4</t>
  </si>
  <si>
    <t>CAOD5039-A</t>
  </si>
  <si>
    <t>https://thereserve2.apx.com/mymodule/reg/prjView.asp?id1=1051</t>
  </si>
  <si>
    <t>CAR1059</t>
  </si>
  <si>
    <t>CAOD5050</t>
  </si>
  <si>
    <t>DPC Domestic ODS Destruction Project #19</t>
  </si>
  <si>
    <t>CAOD5050-A</t>
  </si>
  <si>
    <t>https://thereserve2.apx.com/mymodule/reg/prjView.asp?id1=1059</t>
  </si>
  <si>
    <t>CAR1068</t>
  </si>
  <si>
    <t>CAOD5059</t>
  </si>
  <si>
    <t>ECC ODS Destruction 2-2014</t>
  </si>
  <si>
    <t>CAOD5059-A</t>
  </si>
  <si>
    <t>https://thereserve2.apx.com/mymodule/reg/prjView.asp?id1=1068</t>
  </si>
  <si>
    <t>CAR1069</t>
  </si>
  <si>
    <t>CAOD5062</t>
  </si>
  <si>
    <t>A-GAS RemTec 2013-5</t>
  </si>
  <si>
    <t>CAOD5062-A</t>
  </si>
  <si>
    <t>https://thereserve2.apx.com/mymodule/reg/prjView.asp?id1=1069</t>
  </si>
  <si>
    <t>CAR1071</t>
  </si>
  <si>
    <t>CAOD5066</t>
  </si>
  <si>
    <t>DPC Domestic ODS Destruction Project #20</t>
  </si>
  <si>
    <t>CAOD5066-A</t>
  </si>
  <si>
    <t>https://thereserve2.apx.com/mymodule/reg/prjView.asp?id1=1071</t>
  </si>
  <si>
    <t>CAR1072</t>
  </si>
  <si>
    <t>CAOD5067</t>
  </si>
  <si>
    <t>A-GAS RemTec 2014-1</t>
  </si>
  <si>
    <t>CAOD5067-A</t>
  </si>
  <si>
    <t>https://thereserve2.apx.com/mymodule/reg/prjView.asp?id1=1072</t>
  </si>
  <si>
    <t>CAR1074</t>
  </si>
  <si>
    <t>CAOD5073</t>
  </si>
  <si>
    <t>EOS CAR 1074</t>
  </si>
  <si>
    <t>CAOD5073-A</t>
  </si>
  <si>
    <t>https://thereserve2.apx.com/mymodule/reg/prjView.asp?id1=1074</t>
  </si>
  <si>
    <t>CAR1087</t>
  </si>
  <si>
    <t>CAOD5078</t>
  </si>
  <si>
    <t>DPC Domestic ODS Destruction Project #21</t>
  </si>
  <si>
    <t>CAOD5078-A</t>
  </si>
  <si>
    <t>https://thereserve2.apx.com/mymodule/reg/prjView.asp?id1=1087</t>
  </si>
  <si>
    <t>CAR1089</t>
  </si>
  <si>
    <t>CAOD5079</t>
  </si>
  <si>
    <t>A-GAS RemTec 2014-2</t>
  </si>
  <si>
    <t>CAOD5079-A</t>
  </si>
  <si>
    <t>https://thereserve2.apx.com/mymodule/reg/prjView.asp?id1=1089</t>
  </si>
  <si>
    <t>CAR1093</t>
  </si>
  <si>
    <t>CAOD5092</t>
  </si>
  <si>
    <t>A-GAS RemTec 2014-3</t>
  </si>
  <si>
    <t>CAOD5092-A</t>
  </si>
  <si>
    <t>https://thereserve2.apx.com/mymodule/reg/prjView.asp?id1=1093</t>
  </si>
  <si>
    <t>CAR1171</t>
  </si>
  <si>
    <t>CAOD5185</t>
  </si>
  <si>
    <t>A-GAS Americas 2015-1</t>
  </si>
  <si>
    <t>CAOD5185-A</t>
  </si>
  <si>
    <t>https://thereserve2.apx.com/mymodule/reg/prjView.asp?id1=1171</t>
  </si>
  <si>
    <t>CAR1172</t>
  </si>
  <si>
    <t>CAOD5190</t>
  </si>
  <si>
    <t>DPC Domestic ODS Destruction Project #22</t>
  </si>
  <si>
    <t>CAOD5190-A</t>
  </si>
  <si>
    <t>https://thereserve2.apx.com/mymodule/reg/prjView.asp?id1=1172</t>
  </si>
  <si>
    <t>CAR1179</t>
  </si>
  <si>
    <t>CAOD5201</t>
  </si>
  <si>
    <t>A-GAS RemTec 2015-2</t>
  </si>
  <si>
    <t>CAOD5201-A</t>
  </si>
  <si>
    <t>https://thereserve2.apx.com/mymodule/reg/prjView.asp?id1=1179</t>
  </si>
  <si>
    <t>CAR1182</t>
  </si>
  <si>
    <t>CAOD5222</t>
  </si>
  <si>
    <t>ClimeCo ODS Destruction 16 and 17</t>
  </si>
  <si>
    <t>ClimeCo Corporation</t>
  </si>
  <si>
    <t>CAOD5222-A</t>
  </si>
  <si>
    <t>https://thereserve2.apx.com/mymodule/reg/prjView.asp?id1=1182</t>
  </si>
  <si>
    <t>Discrepancy: Total ghg reductions in OPDR differ from credit issuance by 9tCO2e. Ignoring.</t>
  </si>
  <si>
    <t>CAR1219</t>
  </si>
  <si>
    <t>CAOD5260</t>
  </si>
  <si>
    <t>Coolgas 2015-3</t>
  </si>
  <si>
    <t>CAOD5260-A</t>
  </si>
  <si>
    <t>https://thereserve2.apx.com/mymodule/reg/prjView.asp?id1=1219</t>
  </si>
  <si>
    <t xml:space="preserve">ref </t>
  </si>
  <si>
    <t>CAR1222</t>
  </si>
  <si>
    <t>CAOD5282</t>
  </si>
  <si>
    <t>Coolgas 2016-1</t>
  </si>
  <si>
    <t>CAOD5282-A</t>
  </si>
  <si>
    <t>https://thereserve2.apx.com/mymodule/reg/prjView.asp?id1=1222</t>
  </si>
  <si>
    <t>CAR1234</t>
  </si>
  <si>
    <t>CAOD5334</t>
  </si>
  <si>
    <t>DPC Domestic ODS Destruction Project #23</t>
  </si>
  <si>
    <t>CAOD5334-A</t>
  </si>
  <si>
    <t>https://thereserve2.apx.com/mymodule/reg/prjView.asp?id1=1234</t>
  </si>
  <si>
    <t>CAR1235</t>
  </si>
  <si>
    <t>CAOD5335</t>
  </si>
  <si>
    <t>DPC Domestic ODS Destruction Project #25</t>
  </si>
  <si>
    <t>CAOD5335-A</t>
  </si>
  <si>
    <t>https://thereserve2.apx.com/mymodule/reg/prjView.asp?id1=1235</t>
  </si>
  <si>
    <t>CAR1236</t>
  </si>
  <si>
    <t>CAOD5336</t>
  </si>
  <si>
    <t>A-Gas Americas 2016-2</t>
  </si>
  <si>
    <t>CAOD5336-A</t>
  </si>
  <si>
    <t>https://thereserve2.apx.com/mymodule/reg/prjView.asp?id1=1236</t>
  </si>
  <si>
    <t>CAR1239</t>
  </si>
  <si>
    <t>CAOD5339</t>
  </si>
  <si>
    <t>Coolgas 2016-3</t>
  </si>
  <si>
    <t>CAOD5339-A</t>
  </si>
  <si>
    <t>https://thereserve2.apx.com/mymodule/reg/prjView.asp?id1=1239</t>
  </si>
  <si>
    <t>CAR1240</t>
  </si>
  <si>
    <t>CAOD5340</t>
  </si>
  <si>
    <t>A-Gas O'Hare</t>
  </si>
  <si>
    <t>CAOD5340-A</t>
  </si>
  <si>
    <t>https://thereserve2.apx.com/mymodule/reg/prjView.asp?id1=1240</t>
  </si>
  <si>
    <t>CAR1242</t>
  </si>
  <si>
    <t>CAOD5290</t>
  </si>
  <si>
    <t>Perfect Cycle ODS-2</t>
  </si>
  <si>
    <t>Perfect Score Technologies, LLC</t>
  </si>
  <si>
    <t>CAOD5290-A</t>
  </si>
  <si>
    <t>https://thereserve2.apx.com/mymodule/reg/prjView.asp?id1=1242</t>
  </si>
  <si>
    <t>CAR1243</t>
  </si>
  <si>
    <t>CAOD5287</t>
  </si>
  <si>
    <t>DPC Domestic ODS Destruction Project #27</t>
  </si>
  <si>
    <t>CAOD5287-A</t>
  </si>
  <si>
    <t>https://thereserve2.apx.com/mymodule/reg/prjView.asp?id1=1243</t>
  </si>
  <si>
    <t>CAR1244</t>
  </si>
  <si>
    <t>CAOD5288</t>
  </si>
  <si>
    <t>DPC Domestic ODS Destruction Project #26</t>
  </si>
  <si>
    <t>S&amp;A Carbon, LLC</t>
  </si>
  <si>
    <t>CAOD5288-A</t>
  </si>
  <si>
    <t>https://thereserve2.apx.com/mymodule/reg/prjView.asp?id1=1244</t>
  </si>
  <si>
    <t>CAR1248</t>
  </si>
  <si>
    <t>CAOD5348</t>
  </si>
  <si>
    <t>Coolgas 2016-4</t>
  </si>
  <si>
    <t>CAOD5348-A</t>
  </si>
  <si>
    <t>https://thereserve2.apx.com/mymodule/reg/prjView.asp?id1=1248</t>
  </si>
  <si>
    <t>CAR1249</t>
  </si>
  <si>
    <t>CAOD5298</t>
  </si>
  <si>
    <t>A-Gas Americas 2017-1</t>
  </si>
  <si>
    <t>CAOD5298-A</t>
  </si>
  <si>
    <t>https://thereserve2.apx.com/mymodule/reg/prjView.asp?id1=1249</t>
  </si>
  <si>
    <t>CAR1250</t>
  </si>
  <si>
    <t>CAOD5333</t>
  </si>
  <si>
    <t>ClimeCo ODS Destruction 18 and 19</t>
  </si>
  <si>
    <t>CAOD5333-A</t>
  </si>
  <si>
    <t>https://thereserve2.apx.com/mymodule/reg/prjView.asp?id1=1250</t>
  </si>
  <si>
    <t>CAR1251</t>
  </si>
  <si>
    <t>CAOD5321</t>
  </si>
  <si>
    <t>DPC Domestic ODS Destruction Project #28</t>
  </si>
  <si>
    <t>CAOD5321-A</t>
  </si>
  <si>
    <t>https://thereserve2.apx.com/mymodule/reg/prjView.asp?id1=1251</t>
  </si>
  <si>
    <t>CAR1252</t>
  </si>
  <si>
    <t>CAOD5318</t>
  </si>
  <si>
    <t>A-Gas Americas 2017-2</t>
  </si>
  <si>
    <t>CAOD5318-A</t>
  </si>
  <si>
    <t>https://thereserve2.apx.com/mymodule/reg/prjView.asp?id1=1252</t>
  </si>
  <si>
    <t>CAR1254</t>
  </si>
  <si>
    <t>CAOD5320</t>
  </si>
  <si>
    <t>A-Gas Americas 2017-3</t>
  </si>
  <si>
    <t>CAOD5320-A</t>
  </si>
  <si>
    <t>https://thereserve2.apx.com/mymodule/reg/prjView.asp?id1=1254</t>
  </si>
  <si>
    <t>CAR1258</t>
  </si>
  <si>
    <t>CAOD5338</t>
  </si>
  <si>
    <t>ClimeCo ODS Destruction 20</t>
  </si>
  <si>
    <t>CAOD5338-A</t>
  </si>
  <si>
    <t>https://thereserve2.apx.com/mymodule/reg/prjView.asp?id1=1258</t>
  </si>
  <si>
    <t>CAR1263</t>
  </si>
  <si>
    <t>CAOD5344</t>
  </si>
  <si>
    <t>A-Gas Americas 2017-4</t>
  </si>
  <si>
    <t>CAOD5344-A</t>
  </si>
  <si>
    <t>https://thereserve2.apx.com/mymodule/reg/prjView.asp?id1=1263</t>
  </si>
  <si>
    <t>CAR1267</t>
  </si>
  <si>
    <t>CAOD5347</t>
  </si>
  <si>
    <t>Coolgas 2017-5</t>
  </si>
  <si>
    <t>CAOD5347-A</t>
  </si>
  <si>
    <t>https://thereserve2.apx.com/mymodule/reg/prjView.asp?id1=1267</t>
  </si>
  <si>
    <t>CAR1268</t>
  </si>
  <si>
    <t>CAOD5368</t>
  </si>
  <si>
    <t>A-Gas Americas 2017-6</t>
  </si>
  <si>
    <t>CAOD5368-A</t>
  </si>
  <si>
    <t>https://thereserve2.apx.com/mymodule/reg/prjView.asp?id1=1268</t>
  </si>
  <si>
    <t>CAR1269</t>
  </si>
  <si>
    <t>CAOD5369</t>
  </si>
  <si>
    <t>Coolgas 2017-7</t>
  </si>
  <si>
    <t>CAOD5369-A</t>
  </si>
  <si>
    <t>https://thereserve2.apx.com/mymodule/reg/prjView.asp?id1=1269</t>
  </si>
  <si>
    <t>CAR1270</t>
  </si>
  <si>
    <t>CAOD5362</t>
  </si>
  <si>
    <t>A-Gas Americas 2017-8</t>
  </si>
  <si>
    <t>CAOD5362-A</t>
  </si>
  <si>
    <t>https://thereserve2.apx.com/mymodule/reg/prjView.asp?id1=1270</t>
  </si>
  <si>
    <t>CAR1271</t>
  </si>
  <si>
    <t>CAOD5366</t>
  </si>
  <si>
    <t>ClimeCo ODS Destruction 21</t>
  </si>
  <si>
    <t>CAOD5366-A</t>
  </si>
  <si>
    <t>https://thereserve2.apx.com/mymodule/reg/prjView.asp?id1=1271</t>
  </si>
  <si>
    <t>CAR1272</t>
  </si>
  <si>
    <t>CAOD5372</t>
  </si>
  <si>
    <t>DPC Domestic ODS Destruction Project #30</t>
  </si>
  <si>
    <t>CAOD5372-A</t>
  </si>
  <si>
    <t>https://thereserve2.apx.com/mymodule/reg/prjView.asp?id1=1272</t>
  </si>
  <si>
    <t>CAR1277</t>
  </si>
  <si>
    <t>CAOD5327</t>
  </si>
  <si>
    <t>ClimeCo ODS Destruction 22</t>
  </si>
  <si>
    <t>CAOD5327-A</t>
  </si>
  <si>
    <t>https://thereserve2.apx.com/mymodule/reg/prjView.asp?id1=1277</t>
  </si>
  <si>
    <t>CAR1278</t>
  </si>
  <si>
    <t>CAOD5328</t>
  </si>
  <si>
    <t>ClimeCo ODS Destruction 23</t>
  </si>
  <si>
    <t>CAOD5328-A</t>
  </si>
  <si>
    <t>https://thereserve2.apx.com/mymodule/reg/prjView.asp?id1=1278</t>
  </si>
  <si>
    <t>CAR1279</t>
  </si>
  <si>
    <t>CAOD5329</t>
  </si>
  <si>
    <t>ClimeCo ODS Destruction 24</t>
  </si>
  <si>
    <t>CAOD5329-A</t>
  </si>
  <si>
    <t>https://thereserve2.apx.com/mymodule/reg/prjView.asp?id1=1279</t>
  </si>
  <si>
    <t>CAR1280</t>
  </si>
  <si>
    <t>CAOD5330</t>
  </si>
  <si>
    <t>ClimeCo ODS Destruction 25</t>
  </si>
  <si>
    <t>Cameron-Cole, LLC.</t>
  </si>
  <si>
    <t>CAOD5330-A</t>
  </si>
  <si>
    <t>https://thereserve2.apx.com/mymodule/reg/prjView.asp?id1=1280</t>
  </si>
  <si>
    <t>CAR1286</t>
  </si>
  <si>
    <t>CAOD5326</t>
  </si>
  <si>
    <t>A-Gas Americas 2018-1</t>
  </si>
  <si>
    <t>CAOD5326-A</t>
  </si>
  <si>
    <t>https://thereserve2.apx.com/mymodule/reg/prjView.asp?id1=1286</t>
  </si>
  <si>
    <t>CAR1287</t>
  </si>
  <si>
    <t>CAOD5331</t>
  </si>
  <si>
    <t>Perfect Cycle ODS-3</t>
  </si>
  <si>
    <t>CAOD5331-A</t>
  </si>
  <si>
    <t>https://thereserve2.apx.com/mymodule/reg/prjView.asp?id1=1287</t>
  </si>
  <si>
    <t>CAR1289</t>
  </si>
  <si>
    <t>CAOD5399</t>
  </si>
  <si>
    <t>Irony</t>
  </si>
  <si>
    <t>Irony, LLC</t>
  </si>
  <si>
    <t>CAOD5399-A</t>
  </si>
  <si>
    <t>https://thereserve2.apx.com/mymodule/reg/prjView.asp?id1=1289</t>
  </si>
  <si>
    <t>CAR1290</t>
  </si>
  <si>
    <t>CAOD5380</t>
  </si>
  <si>
    <t>A-Gas Americas 2018-2</t>
  </si>
  <si>
    <t>CAOD5380-A</t>
  </si>
  <si>
    <t>https://thereserve2.apx.com/mymodule/reg/prjView.asp?id1=1290</t>
  </si>
  <si>
    <t>CAR1295</t>
  </si>
  <si>
    <t>CAOD5389</t>
  </si>
  <si>
    <t>A-Gas 2018-3</t>
  </si>
  <si>
    <t>CAOD5389-A</t>
  </si>
  <si>
    <t>https://thereserve2.apx.com/mymodule/reg/prjView.asp?id1=1295</t>
  </si>
  <si>
    <t>CAR1296</t>
  </si>
  <si>
    <t>CAOD5405</t>
  </si>
  <si>
    <t>A-Gas 2018-4</t>
  </si>
  <si>
    <t>CAOD5405-A</t>
  </si>
  <si>
    <t>https://thereserve2.apx.com/mymodule/reg/prjView.asp?id1=1296</t>
  </si>
  <si>
    <t>CAR1300</t>
  </si>
  <si>
    <t>CAOD6300</t>
  </si>
  <si>
    <t>ClimeCo ODS Destruction 26</t>
  </si>
  <si>
    <t>CAOD6300-A</t>
  </si>
  <si>
    <t>https://thereserve2.apx.com/mymodule/reg/prjView.asp?id1=1300</t>
  </si>
  <si>
    <t>CAR1301</t>
  </si>
  <si>
    <t>CAOD6301</t>
  </si>
  <si>
    <t>ClimeCo ODS Destruction 27</t>
  </si>
  <si>
    <t>CAOD6301-A</t>
  </si>
  <si>
    <t>https://thereserve2.apx.com/mymodule/reg/prjView.asp?id1=1301</t>
  </si>
  <si>
    <t>CAR1302</t>
  </si>
  <si>
    <t>CAOD6302</t>
  </si>
  <si>
    <t>ClimeCo ODS Destruction 28</t>
  </si>
  <si>
    <t>CAOD6302-A</t>
  </si>
  <si>
    <t>https://thereserve2.apx.com/mymodule/reg/prjView.asp?id1=1302</t>
  </si>
  <si>
    <t>CAR1303</t>
  </si>
  <si>
    <t>CAOD6303</t>
  </si>
  <si>
    <t>A-Gas 2018-5</t>
  </si>
  <si>
    <t>CAOD6303-A</t>
  </si>
  <si>
    <t>https://thereserve2.apx.com/mymodule/reg/prjView.asp?id1=1303</t>
  </si>
  <si>
    <t>CAR1305</t>
  </si>
  <si>
    <t>CAOD6305</t>
  </si>
  <si>
    <t>A-Gas 2018-7</t>
  </si>
  <si>
    <t>CAOD6305-A</t>
  </si>
  <si>
    <t>https://thereserve2.apx.com/mymodule/reg/prjView.asp?id1=1305</t>
  </si>
  <si>
    <t>CAR1308</t>
  </si>
  <si>
    <t>CAOD6308</t>
  </si>
  <si>
    <t>Coolgas 2018-6</t>
  </si>
  <si>
    <t>CAOD6308-A</t>
  </si>
  <si>
    <t>https://thereserve2.apx.com/mymodule/reg/prjView.asp?id1=1308</t>
  </si>
  <si>
    <t>CAR1309</t>
  </si>
  <si>
    <t>CAOD6309</t>
  </si>
  <si>
    <t>ClimeCo ODS Destruction 29</t>
  </si>
  <si>
    <t>CAOD6309-A</t>
  </si>
  <si>
    <t>https://thereserve2.apx.com/mymodule/reg/prjView.asp?id1=1309</t>
  </si>
  <si>
    <t>CAR1310</t>
  </si>
  <si>
    <t>CAOD6310</t>
  </si>
  <si>
    <t>ClimeCo ODS Destruction 30</t>
  </si>
  <si>
    <t>CAOD6310-A</t>
  </si>
  <si>
    <t>https://thereserve2.apx.com/mymodule/reg/prjView.asp?id1=1310</t>
  </si>
  <si>
    <t>CAR1311</t>
  </si>
  <si>
    <t>CAOD6311</t>
  </si>
  <si>
    <t>A-Gas 2018-8</t>
  </si>
  <si>
    <t>CAOD6311-A</t>
  </si>
  <si>
    <t>https://thereserve2.apx.com/mymodule/reg/prjView.asp?id1=1311</t>
  </si>
  <si>
    <t>CAR1312</t>
  </si>
  <si>
    <t>CAOD6312</t>
  </si>
  <si>
    <t>A-Gas 2018-9</t>
  </si>
  <si>
    <t>CAOD6312-A</t>
  </si>
  <si>
    <t>https://thereserve2.apx.com/mymodule/reg/prjView.asp?id1=1312</t>
  </si>
  <si>
    <t>CAR1318</t>
  </si>
  <si>
    <t>CAOD6318</t>
  </si>
  <si>
    <t>A-Gas 2019-1</t>
  </si>
  <si>
    <t>CAOD6318-A</t>
  </si>
  <si>
    <t>https://thereserve2.apx.com/mymodule/reg/prjView.asp?id1=1318</t>
  </si>
  <si>
    <t>CAR1326</t>
  </si>
  <si>
    <t>CAOD6326</t>
  </si>
  <si>
    <t>ClimeCo ODS Destruction 31</t>
  </si>
  <si>
    <t>CAOD6326-A</t>
  </si>
  <si>
    <t>https://thereserve2.apx.com/mymodule/reg/prjView.asp?id1=1326</t>
  </si>
  <si>
    <t>CAR1327</t>
  </si>
  <si>
    <t>CAOD6327</t>
  </si>
  <si>
    <t>Perfect Cycle ODS-4</t>
  </si>
  <si>
    <t>Perfect Score Too, LTD</t>
  </si>
  <si>
    <t>CAOD6327-A</t>
  </si>
  <si>
    <t>https://thereserve2.apx.com/mymodule/reg/prjView.asp?id1=1327</t>
  </si>
  <si>
    <t>CAR1341</t>
  </si>
  <si>
    <t>CAOD6341</t>
  </si>
  <si>
    <t>Hudson Tech 2019-4</t>
  </si>
  <si>
    <t>CAOD6341-A</t>
  </si>
  <si>
    <t>https://thereserve2.apx.com/mymodule/reg/prjView.asp?id1=1341</t>
  </si>
  <si>
    <t>CAR1367</t>
  </si>
  <si>
    <t>CAOD6367</t>
  </si>
  <si>
    <t>Hudson Tech 2019-5</t>
  </si>
  <si>
    <t>CAOD6367-A</t>
  </si>
  <si>
    <t>https://thereserve2.apx.com/mymodule/reg/prjView.asp?id1=1367</t>
  </si>
  <si>
    <t>CAR1376</t>
  </si>
  <si>
    <t>CAOD6376</t>
  </si>
  <si>
    <t>ClimeCo ODS Destruction 32</t>
  </si>
  <si>
    <t>CAOD6376-A</t>
  </si>
  <si>
    <t>https://thereserve2.apx.com/mymodule/reg/prjView.asp?id1=1376</t>
  </si>
  <si>
    <t>CAR1401</t>
  </si>
  <si>
    <t>CAOD6401</t>
  </si>
  <si>
    <t>ClimeCo ODS Destruction 33</t>
  </si>
  <si>
    <t>CAOD6401-A</t>
  </si>
  <si>
    <t>https://thereserve2.apx.com/mymodule/reg/prjView.asp?id1=1401</t>
  </si>
  <si>
    <t>CAR1412</t>
  </si>
  <si>
    <t>CAOD6412</t>
  </si>
  <si>
    <t>A-Gas UCSD1</t>
  </si>
  <si>
    <t>CAOD6412-A</t>
  </si>
  <si>
    <t>https://thereserve2.apx.com/mymodule/reg/prjView.asp?id1=1412</t>
  </si>
  <si>
    <t>CAR1413</t>
  </si>
  <si>
    <t>CAOD6413</t>
  </si>
  <si>
    <t>A-Gas 4-2020</t>
  </si>
  <si>
    <t>CAOD6413-A</t>
  </si>
  <si>
    <t>https://thereserve2.apx.com/mymodule/reg/prjView.asp?id1=1413</t>
  </si>
  <si>
    <t>CAR1418</t>
  </si>
  <si>
    <t>CAOD6418</t>
  </si>
  <si>
    <t>Perfect Cycle ODS-5</t>
  </si>
  <si>
    <t>CAOD6418-A</t>
  </si>
  <si>
    <t>https://thereserve2.apx.com/mymodule/reg/prjView.asp?id1=1418</t>
  </si>
  <si>
    <t>CAR1441</t>
  </si>
  <si>
    <t>CAOD6441</t>
  </si>
  <si>
    <t>A-Gas 5-2020</t>
  </si>
  <si>
    <t>CAOD6441-A</t>
  </si>
  <si>
    <t>https://thereserve2.apx.com/mymodule/reg/prjView.asp?id1=1441</t>
  </si>
  <si>
    <t>CAR1456</t>
  </si>
  <si>
    <t>CAOD6456</t>
  </si>
  <si>
    <t>ClimeCo ODS Destruction 34</t>
  </si>
  <si>
    <t>CAOD6456-A</t>
  </si>
  <si>
    <t>https://thereserve2.apx.com/mymodule/reg/prjView.asp?id1=1456</t>
  </si>
  <si>
    <t>CAR1458</t>
  </si>
  <si>
    <t>CAOD6458</t>
  </si>
  <si>
    <t>A-Gas 1-2021</t>
  </si>
  <si>
    <t>CAOD6458-A</t>
  </si>
  <si>
    <t>https://thereserve2.apx.com/mymodule/reg/prjView.asp?id1=1458</t>
  </si>
  <si>
    <t>CAR1481</t>
  </si>
  <si>
    <t>CAOD6481</t>
  </si>
  <si>
    <t>A-Gas 2-2021</t>
  </si>
  <si>
    <t>CAOD6481-A</t>
  </si>
  <si>
    <t>https://thereserve2.apx.com/mymodule/reg/prjView.asp?id1=1481</t>
  </si>
  <si>
    <t>CAR1493</t>
  </si>
  <si>
    <t>CAOD6493</t>
  </si>
  <si>
    <t>A-Gas 3-2021</t>
  </si>
  <si>
    <t>CAOD6493-A</t>
  </si>
  <si>
    <t>https://thereserve2.apx.com/mymodule/reg/prjView.asp?id1=1493</t>
  </si>
  <si>
    <t>CAR1498</t>
  </si>
  <si>
    <t>CAOD6498</t>
  </si>
  <si>
    <t>A-Gas 4-2021</t>
  </si>
  <si>
    <t>CAOD6498-A</t>
  </si>
  <si>
    <t>https://thereserve2.apx.com/mymodule/reg/prjView.asp?id1=1498</t>
  </si>
  <si>
    <t>CAR1515</t>
  </si>
  <si>
    <t>CAOD6515</t>
  </si>
  <si>
    <t>ClimeCo ODS Destruction 35</t>
  </si>
  <si>
    <t>ClimeCo, LLC</t>
  </si>
  <si>
    <t>CAOD6515-A</t>
  </si>
  <si>
    <t>https://thereserve2.apx.com/mymodule/reg/prjView.asp?id1=1515</t>
  </si>
  <si>
    <t>CAR1560</t>
  </si>
  <si>
    <t>CAOD6560</t>
  </si>
  <si>
    <t>A-Gas 1-2022</t>
  </si>
  <si>
    <t>CAOD6560-A</t>
  </si>
  <si>
    <t>https://thereserve2.apx.com/mymodule/reg/prjView.asp?id1=1560</t>
  </si>
  <si>
    <t>CAR1578</t>
  </si>
  <si>
    <t>CAOD6578</t>
  </si>
  <si>
    <t>A-Gas 2-2022</t>
  </si>
  <si>
    <t>CAOD6578-A</t>
  </si>
  <si>
    <t>https://thereserve2.apx.com/mymodule/reg/prjView.asp?id1=1578</t>
  </si>
  <si>
    <t>CAR1662</t>
  </si>
  <si>
    <t>CAOD6662</t>
  </si>
  <si>
    <t>A-Gas 1-2023</t>
  </si>
  <si>
    <t>CAOD6662-A</t>
  </si>
  <si>
    <t>https://thereserve2.apx.com/mymodule/reg/prjView.asp?id1=1662</t>
  </si>
  <si>
    <t>CAR1860</t>
  </si>
  <si>
    <t>CAOD6860</t>
  </si>
  <si>
    <t>ClimeCo ODS Destruction 36</t>
  </si>
  <si>
    <t>CAOD6860-A</t>
  </si>
  <si>
    <t>https://thereserve2.apx.com/mymodule/reg/prjView.asp?id1=1860</t>
  </si>
  <si>
    <t>CAR2119</t>
  </si>
  <si>
    <t>CAOD7119</t>
  </si>
  <si>
    <t>Perfect Cycle ODS-6</t>
  </si>
  <si>
    <t>CAOD7119-A</t>
  </si>
  <si>
    <t>https://thereserve2.apx.com/mymodule/reg/prjView.asp?id1=2119</t>
  </si>
  <si>
    <t>CAR992</t>
  </si>
  <si>
    <t>CAOD5001</t>
  </si>
  <si>
    <t>EOS ARB ODS 2013-1</t>
  </si>
  <si>
    <t>CAOD5001-A</t>
  </si>
  <si>
    <t>https://thereserve2.apx.com/mymodule/reg/prjView.asp?id1=992</t>
  </si>
  <si>
    <t>CAR995</t>
  </si>
  <si>
    <t>CAOD5017</t>
  </si>
  <si>
    <t>EOS ARB ODS 2013-3</t>
  </si>
  <si>
    <t>CAOD5017-A</t>
  </si>
  <si>
    <t>https://thereserve2.apx.com/mymodule/reg/prjView.asp?id1=995</t>
  </si>
  <si>
    <t>ACR183</t>
  </si>
  <si>
    <t>CAOD0061</t>
  </si>
  <si>
    <t>EA</t>
  </si>
  <si>
    <t>DPC Domestic ODS Destruction Project #12</t>
  </si>
  <si>
    <t>CAOD0061-A</t>
  </si>
  <si>
    <t>https://greentrace.ice.com/acr/projects/registry/ACR_REGISTRY/project/P2423C9VJT24</t>
  </si>
  <si>
    <t/>
  </si>
  <si>
    <t>EA method A: exact gas quantities specified</t>
  </si>
  <si>
    <t>ACR184</t>
  </si>
  <si>
    <t>CAOD0072</t>
  </si>
  <si>
    <t>EOS ACR 2013</t>
  </si>
  <si>
    <t>CAOD0072-A</t>
  </si>
  <si>
    <t>https://greentrace.ice.com/acr/projects/registry/ACR_REGISTRY/project/P2323C9VXE22</t>
  </si>
  <si>
    <t>EA method B: exact quantities not specified, but destroyed gas meets “purity” standard of &gt;90% a single gas</t>
  </si>
  <si>
    <t>CAOD0072-B</t>
  </si>
  <si>
    <t>CAR604</t>
  </si>
  <si>
    <t>CAOD0016</t>
  </si>
  <si>
    <t>EOS-JA-09-01</t>
  </si>
  <si>
    <t>CAOD0016-C</t>
  </si>
  <si>
    <t>https://thereserve2.apx.com/mymodule/reg/prjView.asp?id1=604</t>
  </si>
  <si>
    <t>CAOD0016-C2</t>
  </si>
  <si>
    <t>CAOD0016-C3</t>
  </si>
  <si>
    <t>CAOD0016-D</t>
  </si>
  <si>
    <t>CAOD0016-D2</t>
  </si>
  <si>
    <t>CAOD0016-D3</t>
  </si>
  <si>
    <t>CAOD0016-D4</t>
  </si>
  <si>
    <t>CAOD0016-A</t>
  </si>
  <si>
    <t>CAOD0016-E</t>
  </si>
  <si>
    <t>CAOD0016-F</t>
  </si>
  <si>
    <t>CAOD0016-B</t>
  </si>
  <si>
    <t>Exclusion: not possible to extract gas-specificity from verification reports</t>
  </si>
  <si>
    <t>CAOD0016-B2</t>
  </si>
  <si>
    <t>CAOD0016-G</t>
  </si>
  <si>
    <t>CAOD0016-G2</t>
  </si>
  <si>
    <t>CAR628</t>
  </si>
  <si>
    <t>CAOD0092</t>
  </si>
  <si>
    <t>Refex ODS California 2010</t>
  </si>
  <si>
    <t>Refrigerant Exchange Corp.</t>
  </si>
  <si>
    <t>CAOD0092-A</t>
  </si>
  <si>
    <t>https://thereserve2.apx.com/mymodule/reg/prjView.asp?id1=628</t>
  </si>
  <si>
    <t>CAR781</t>
  </si>
  <si>
    <t>CAOD0076</t>
  </si>
  <si>
    <t>Pure Chem Domestic ODS Destruction Project #2</t>
  </si>
  <si>
    <t>Pure Chem Separation, LP</t>
  </si>
  <si>
    <t>CAOD0076-A</t>
  </si>
  <si>
    <t>https://thereserve2.apx.com/mymodule/reg/prjView.asp?id1=781</t>
  </si>
  <si>
    <t>CAR784</t>
  </si>
  <si>
    <t>CAOD0005</t>
  </si>
  <si>
    <t>ECC-ODS-PA-001</t>
  </si>
  <si>
    <t>CAOD0005-A</t>
  </si>
  <si>
    <t>https://thereserve2.apx.com/mymodule/reg/prjView.asp?id1=784</t>
  </si>
  <si>
    <t>CAOD0005-A2</t>
  </si>
  <si>
    <t>CAOD0005-C</t>
  </si>
  <si>
    <t>CAOD0005-B</t>
  </si>
  <si>
    <t>CAR786</t>
  </si>
  <si>
    <t>CAOD0069</t>
  </si>
  <si>
    <t>ECC-ODS-CA-002</t>
  </si>
  <si>
    <t>CAOD0069-A</t>
  </si>
  <si>
    <t>https://thereserve2.apx.com/mymodule/reg/prjView.asp?id1=786</t>
  </si>
  <si>
    <t>CAR795</t>
  </si>
  <si>
    <t>CAOD0065</t>
  </si>
  <si>
    <t>WSO 2011 1</t>
  </si>
  <si>
    <t>Wilshire Stanford Offsets, LLC</t>
  </si>
  <si>
    <t>CAOD0065-A</t>
  </si>
  <si>
    <t>https://thereserve2.apx.com/mymodule/reg/prjView.asp?id1=795</t>
  </si>
  <si>
    <t>EA method A: exact gas quantities specified_multi</t>
  </si>
  <si>
    <t>CAOD0065-B</t>
  </si>
  <si>
    <t>CAR804</t>
  </si>
  <si>
    <t>CAOD0017</t>
  </si>
  <si>
    <t>EOS-CAR2011 Domestic</t>
  </si>
  <si>
    <t>CAOD0017-G</t>
  </si>
  <si>
    <t>https://thereserve2.apx.com/mymodule/reg/prjView.asp?id1=804</t>
  </si>
  <si>
    <t>CAOD0017-G2</t>
  </si>
  <si>
    <t>CAOD0017-B</t>
  </si>
  <si>
    <t>CAOD0017-A</t>
  </si>
  <si>
    <t>EA method A: exact gas quantities specified_mixed</t>
  </si>
  <si>
    <t>CAOD0017-A2</t>
  </si>
  <si>
    <t>CAOD0017-D</t>
  </si>
  <si>
    <t>CAOD0017-E</t>
  </si>
  <si>
    <t>CAOD0017-F</t>
  </si>
  <si>
    <t>CAOD0017-C</t>
  </si>
  <si>
    <t>CAR805</t>
  </si>
  <si>
    <t>CAOD0077</t>
  </si>
  <si>
    <t>Pure Chem Domestic ODS Destruction Project #3</t>
  </si>
  <si>
    <t>CAOD0077-A</t>
  </si>
  <si>
    <t>https://thereserve2.apx.com/mymodule/reg/prjView.asp?id1=805</t>
  </si>
  <si>
    <t>CAR818</t>
  </si>
  <si>
    <t>CAOD0053</t>
  </si>
  <si>
    <t>RemTec International ODS Destruction Domestic Project #1</t>
  </si>
  <si>
    <t>CAOD0053-B</t>
  </si>
  <si>
    <t>https://thereserve2.apx.com/mymodule/reg/prjView.asp?id1=818</t>
  </si>
  <si>
    <t>CAOD0053-C</t>
  </si>
  <si>
    <t>CAOD0053-A</t>
  </si>
  <si>
    <t>CAR832</t>
  </si>
  <si>
    <t>CAOD0067</t>
  </si>
  <si>
    <t>Pure Chem Domestic ODS Destruction Project #4</t>
  </si>
  <si>
    <t>CAOD0067-A</t>
  </si>
  <si>
    <t>https://thereserve2.apx.com/mymodule/reg/prjView.asp?id1=832</t>
  </si>
  <si>
    <t>CAR833</t>
  </si>
  <si>
    <t>CAOD0068</t>
  </si>
  <si>
    <t>Pure Chem Domestic ODS Destruction Project #5</t>
  </si>
  <si>
    <t>CAOD0068-A</t>
  </si>
  <si>
    <t>https://thereserve2.apx.com/mymodule/reg/prjView.asp?id1=833</t>
  </si>
  <si>
    <t>CAOD0068-B</t>
  </si>
  <si>
    <t>CAOD0068-C</t>
  </si>
  <si>
    <t>CAOD0068-D</t>
  </si>
  <si>
    <t>CAR883</t>
  </si>
  <si>
    <t>CAOD0074</t>
  </si>
  <si>
    <t>RemTec International ODS Destruction Domestic Project #2</t>
  </si>
  <si>
    <t>CAOD0074-A</t>
  </si>
  <si>
    <t>https://thereserve2.apx.com/mymodule/reg/prjView.asp?id1=883</t>
  </si>
  <si>
    <t>CAOD0074-B</t>
  </si>
  <si>
    <t>CAOD0074-C</t>
  </si>
  <si>
    <t>CAR901</t>
  </si>
  <si>
    <t>CAOD0078</t>
  </si>
  <si>
    <t>Honeywell ODS Destruction Project</t>
  </si>
  <si>
    <t>Honeywell International, Inc.</t>
  </si>
  <si>
    <t>CAOD0078-A</t>
  </si>
  <si>
    <t>https://thereserve2.apx.com/mymodule/reg/prjView.asp?id1=901</t>
  </si>
  <si>
    <t>CAOD0078-B</t>
  </si>
  <si>
    <t>CAOD0078-C</t>
  </si>
  <si>
    <t>CAOD0078-D</t>
  </si>
  <si>
    <t>CAR905</t>
  </si>
  <si>
    <t>CAOD0089</t>
  </si>
  <si>
    <t>Coolgas US ODS Project 1</t>
  </si>
  <si>
    <t>CAOD0089-A</t>
  </si>
  <si>
    <t>https://thereserve2.apx.com/mymodule/reg/prjView.asp?id1=905</t>
  </si>
  <si>
    <t>CAOD0089-B</t>
  </si>
  <si>
    <t>CAR906</t>
  </si>
  <si>
    <t>CAOD0066</t>
  </si>
  <si>
    <t>WSO 2011 2</t>
  </si>
  <si>
    <t>CAOD0066-A</t>
  </si>
  <si>
    <t>https://thereserve2.apx.com/mymodule/reg/prjView.asp?id1=906</t>
  </si>
  <si>
    <t>CAR945</t>
  </si>
  <si>
    <t>CAOD0039</t>
  </si>
  <si>
    <t>Perfect Cycle ODS-1</t>
  </si>
  <si>
    <t>CAOD0039-A</t>
  </si>
  <si>
    <t>https://thereserve2.apx.com/mymodule/reg/prjView.asp?id1=945</t>
  </si>
  <si>
    <t>CAR946</t>
  </si>
  <si>
    <t>CAOD0018</t>
  </si>
  <si>
    <t>EOS-CAR2012 Domestic</t>
  </si>
  <si>
    <t>CAOD0018-I</t>
  </si>
  <si>
    <t>https://thereserve2.apx.com/mymodule/reg/prjView.asp?id1=946</t>
  </si>
  <si>
    <t>CAOD0018-I2</t>
  </si>
  <si>
    <t>CAOD0018-A</t>
  </si>
  <si>
    <t>CAOD0018-J</t>
  </si>
  <si>
    <t>CAOD0018-B</t>
  </si>
  <si>
    <t>CAOD0018-K</t>
  </si>
  <si>
    <t>CAOD0018-C</t>
  </si>
  <si>
    <t>CAOD0018-L</t>
  </si>
  <si>
    <t>CAOD0018-F</t>
  </si>
  <si>
    <t>CAOD0018-D</t>
  </si>
  <si>
    <t>CAOD0018-G</t>
  </si>
  <si>
    <t>CAOD0018-H</t>
  </si>
  <si>
    <t>CAOD0018-E</t>
  </si>
  <si>
    <t>CAR947</t>
  </si>
  <si>
    <t>CAOD0006</t>
  </si>
  <si>
    <t>ECC-ODS-PA-003</t>
  </si>
  <si>
    <t>CAOD0006-A</t>
  </si>
  <si>
    <t>https://thereserve2.apx.com/mymodule/reg/prjView.asp?id1=947</t>
  </si>
  <si>
    <t>CAOD0006-B</t>
  </si>
  <si>
    <t>CAOD0006-C</t>
  </si>
  <si>
    <t>CAR948</t>
  </si>
  <si>
    <t>CAOD0090</t>
  </si>
  <si>
    <t>Coolgas US ODS Project 2</t>
  </si>
  <si>
    <t>CAOD0090-A</t>
  </si>
  <si>
    <t>https://thereserve2.apx.com/mymodule/reg/prjView.asp?id1=948</t>
  </si>
  <si>
    <t>CAR952</t>
  </si>
  <si>
    <t>CAOD0051</t>
  </si>
  <si>
    <t>PCS Domestic ODS Destruction Project #6</t>
  </si>
  <si>
    <t>CAOD0051-A</t>
  </si>
  <si>
    <t>https://thereserve2.apx.com/mymodule/reg/prjView.asp?id1=952</t>
  </si>
  <si>
    <t>CAOD0084</t>
  </si>
  <si>
    <t>CAOD0084-A</t>
  </si>
  <si>
    <t>CAR954</t>
  </si>
  <si>
    <t>CAOD0050</t>
  </si>
  <si>
    <t>PCS Domestic ODS Destruction Project #7</t>
  </si>
  <si>
    <t>CAOD0050-A</t>
  </si>
  <si>
    <t>https://thereserve2.apx.com/mymodule/reg/prjView.asp?id1=954</t>
  </si>
  <si>
    <t>CAR959</t>
  </si>
  <si>
    <t>CAOD0004</t>
  </si>
  <si>
    <t>RR 2012 1</t>
  </si>
  <si>
    <t>CAOD0004-A</t>
  </si>
  <si>
    <t>https://thereserve2.apx.com/mymodule/reg/prjView.asp?id1=959</t>
  </si>
  <si>
    <t>CAOD0025</t>
  </si>
  <si>
    <t>CAOD0025-A</t>
  </si>
  <si>
    <t>CAR960</t>
  </si>
  <si>
    <t>CAOD0052</t>
  </si>
  <si>
    <t>DPC Domestic ODS Destruction Project #8</t>
  </si>
  <si>
    <t>CAOD0052-A</t>
  </si>
  <si>
    <t>https://thereserve2.apx.com/mymodule/reg/prjView.asp?id1=960</t>
  </si>
  <si>
    <t>CAR974</t>
  </si>
  <si>
    <t>CAOD0054</t>
  </si>
  <si>
    <t>RemTec ODS Destruction Domestic Project #2</t>
  </si>
  <si>
    <t>CAOD0054-A</t>
  </si>
  <si>
    <t>https://thereserve2.apx.com/mymodule/reg/prjView.asp?id1=974</t>
  </si>
  <si>
    <t>CAOD0054-B</t>
  </si>
  <si>
    <t>CAR981</t>
  </si>
  <si>
    <t>CAOD0019</t>
  </si>
  <si>
    <t>DPC Domestic ODS Destruction Project #11</t>
  </si>
  <si>
    <t>CAOD0019-A</t>
  </si>
  <si>
    <t>https://thereserve2.apx.com/mymodule/reg/prjView.asp?id1=981</t>
  </si>
  <si>
    <t>CAR990</t>
  </si>
  <si>
    <t>CAOD0059</t>
  </si>
  <si>
    <t>EOS-2013 Domestic</t>
  </si>
  <si>
    <t>CAOD0059-C</t>
  </si>
  <si>
    <t>https://thereserve2.apx.com/mymodule/reg/prjView.asp?id1=990</t>
  </si>
  <si>
    <t>CAOD0059-A</t>
  </si>
  <si>
    <t>CAOD0059-B</t>
  </si>
  <si>
    <t>CAOD0059-D</t>
  </si>
  <si>
    <t>CAR1003</t>
  </si>
  <si>
    <t>CAOD0062</t>
  </si>
  <si>
    <t>DPC Domestic ODS Destruction Project #13</t>
  </si>
  <si>
    <t>CAOD0062-A</t>
  </si>
  <si>
    <t>https://thereserve2.apx.com/mymodule/reg/prjView.asp?id1=1003</t>
  </si>
  <si>
    <t>CAR1023</t>
  </si>
  <si>
    <t>CAOD0091</t>
  </si>
  <si>
    <t>Coolgas ODS 2013 Project #1</t>
  </si>
  <si>
    <t>CAOD0091-A</t>
  </si>
  <si>
    <t>https://thereserve2.apx.com/mymodule/reg/prjView.asp?id1=1023</t>
  </si>
  <si>
    <t>Mass ODS (lb)</t>
  </si>
  <si>
    <t>CFC-11 (mass%)</t>
  </si>
  <si>
    <t>CFC-12 (mass%)</t>
  </si>
  <si>
    <t>CFC-13 (mass%)</t>
  </si>
  <si>
    <t>CFC-113 (mass%)</t>
  </si>
  <si>
    <t>CFC-114 (mass%)</t>
  </si>
  <si>
    <t>CFC-115 (mass%)</t>
  </si>
  <si>
    <t>HCFC-22 (mass%)</t>
  </si>
  <si>
    <t>HCFC-141b (mass%)</t>
  </si>
  <si>
    <t>Q_refr,i</t>
  </si>
  <si>
    <t>mass eligible ods sent for destruction (mtODS)</t>
  </si>
  <si>
    <t>project baseline emissions (mtco2e)</t>
  </si>
  <si>
    <t>BE (Eq 5.2)</t>
  </si>
  <si>
    <t>project baseline emissions (mtCO2e)</t>
  </si>
  <si>
    <t>BE_refr (Eq 5.3)</t>
  </si>
  <si>
    <t>mass baseline emissions from regrigerant ODS (mtCO2e)</t>
  </si>
  <si>
    <t>ER_refr,i (Table B.1)</t>
  </si>
  <si>
    <t>10-year cumulative emission rate for refrigerant ODS (..)</t>
  </si>
  <si>
    <t>GWP_i  (Table B.1)</t>
  </si>
  <si>
    <t>GWP ODS (mtCO2e / mtODS)</t>
  </si>
  <si>
    <t>project emissions (mtco2e)</t>
  </si>
  <si>
    <t>PE (Eq 5.5)</t>
  </si>
  <si>
    <t>Sub_ref (Eq 5.6)</t>
  </si>
  <si>
    <t>total ghg emissions from sub refrigerant (mtCO2e)</t>
  </si>
  <si>
    <t>SE_i</t>
  </si>
  <si>
    <t>substitute emissions (tco2e / tODS)</t>
  </si>
  <si>
    <t>Tr + Dest (Eq 5.8)</t>
  </si>
  <si>
    <t>Total GHG emissions from transport of ODS (mtCO2e)</t>
  </si>
  <si>
    <t>Q_totalODS</t>
  </si>
  <si>
    <t xml:space="preserve">total mass of ods sent for destruction </t>
  </si>
  <si>
    <t>EF_T&amp;D</t>
  </si>
  <si>
    <t>default emission factor for refrigernat or extracted ODS blowing agent</t>
  </si>
  <si>
    <t xml:space="preserve">
</t>
  </si>
  <si>
    <t>total reductions  (mtco2e)</t>
  </si>
  <si>
    <t>total reductions (mtco2e)</t>
  </si>
  <si>
    <t>credit replication diff (%)</t>
  </si>
  <si>
    <t>contribution ratio — project approach</t>
  </si>
  <si>
    <t>contribution ratio — atmosphere approach</t>
  </si>
  <si>
    <t>Mass ODS (kg)</t>
  </si>
  <si>
    <t>mass eligible ods sent for destruction (kgODS)</t>
  </si>
  <si>
    <t>GWP_i  (Table 5.1)</t>
  </si>
  <si>
    <t>ER_refr,i (Table 5.2)</t>
  </si>
  <si>
    <t>SE_i (Table 5.4)</t>
  </si>
  <si>
    <t>contribution ratio</t>
  </si>
  <si>
    <t xml:space="preserve">CFC-11 </t>
  </si>
  <si>
    <t>CFC-12</t>
  </si>
  <si>
    <t xml:space="preserve">CFC-13 </t>
  </si>
  <si>
    <t>CFC-113</t>
  </si>
  <si>
    <t xml:space="preserve">CFC-114 </t>
  </si>
  <si>
    <t>CFC-115</t>
  </si>
  <si>
    <t xml:space="preserve">HCFC-22 </t>
  </si>
  <si>
    <t>HCFC-141b</t>
  </si>
  <si>
    <t xml:space="preserve">COP - ratio project approach </t>
  </si>
  <si>
    <t>COP - ratio atmosphere approach</t>
  </si>
  <si>
    <t xml:space="preserve">ALL - ratio project approach </t>
  </si>
  <si>
    <t>EA - ratio project approach</t>
  </si>
  <si>
    <t>project_id</t>
  </si>
  <si>
    <t>carb_issuance_id</t>
  </si>
  <si>
    <t>reporting_period</t>
  </si>
  <si>
    <t>ratio_CFC-11</t>
  </si>
  <si>
    <t>ratio_CFC-12</t>
  </si>
  <si>
    <t>ratio_CFC-13</t>
  </si>
  <si>
    <t>ratio_CFC-113</t>
  </si>
  <si>
    <t>ratio_CFC-114</t>
  </si>
  <si>
    <t>ratio_CFC-115</t>
  </si>
  <si>
    <t>ratio_HCFC-22</t>
  </si>
  <si>
    <t>ratio_HCFC-141b</t>
  </si>
  <si>
    <t>assumption_tier</t>
  </si>
  <si>
    <t>document_name</t>
  </si>
  <si>
    <t>composition_basis</t>
  </si>
  <si>
    <t>total_weight_lb</t>
  </si>
  <si>
    <t>eligible_weight_lb</t>
  </si>
  <si>
    <t>cfc-11_pct</t>
  </si>
  <si>
    <t>cfc-12_pct</t>
  </si>
  <si>
    <t>cfc-13_pct</t>
  </si>
  <si>
    <t>cfc-113_pct</t>
  </si>
  <si>
    <t>cfc-114_pct</t>
  </si>
  <si>
    <t>cfc-115_pct</t>
  </si>
  <si>
    <t>hcfc-22_pct</t>
  </si>
  <si>
    <t>hcfc-141b_pct</t>
  </si>
  <si>
    <t>er_tco2e_report</t>
  </si>
  <si>
    <t>credits_issued</t>
  </si>
  <si>
    <t>er_match</t>
  </si>
  <si>
    <t>A_lab</t>
  </si>
  <si>
    <t>ACR183 DPC Project #12 Verification Report_Final_revised.pdf</t>
  </si>
  <si>
    <t>lab_pct</t>
  </si>
  <si>
    <t>Lab analysis by National Refrigerants Inc (AHRI-certified): Section 3.1 (total material; eligible material destroyed) '97.47% R-12, 0.01% R-114 and 0.09% R-115'. Section 3.7.2.</t>
  </si>
  <si>
    <t>B_single</t>
  </si>
  <si>
    <t>VerifReport-EOS-ACR184 RP1_Final_2013-11-05.pdf</t>
  </si>
  <si>
    <t>purity_gt90</t>
  </si>
  <si>
    <t>30,600 lb concentrated R-12 (single event, ISO SECU 1220724), destroyed at Clean Harbors El Dorado AR. 'met the 90% purity standard (single species of ODS greater than 90% purity)' — no lab percentages in OVR. AHRI-700-2006 lab, GC/MS. Verifier: NSF-ISR.</t>
  </si>
  <si>
    <t>VerifReport-EOS-ACR184 P2_2013-11-08.pdf</t>
  </si>
  <si>
    <t>29,540 lb concentrated R-12 (single event, ISO SECU 1250502) aggregated at Hudson Technologies from JACO Environmental + 5 suppliers; destroyed at Clean Harbors El Dorado AR. No lab percentages in OVR; material 'met the 90% purity standard (single species of ODS greater than 90% purity)' i.e. R-12 &gt;90%. AHRI-700-2006 lab, GC/MS. ER: 122,048 (baseline 131,994 - project 9,946). Verifier: NSF-ISR.; crediting numbers replicated assuming ~95 percent of material is CFC-12</t>
  </si>
  <si>
    <t>Project Verification Report -ODS- Project EOS-JA-09-01 2010-04-27.pdf</t>
  </si>
  <si>
    <t>no</t>
  </si>
  <si>
    <t>Two destruction events; 58,730 lb of 'mostly refrigerant R-12'. Half-ton cylinders from Jaco Environmental reclaimed by Hudson Technologies (impurities removed), shipped in bulk ISO containers to Clean Harbors El Dorado AR. Lab (AHRI, GC): 'refrigerant in each container was more than 90% CFC-12 by weight.' Report ER 252,970 vs spreadsheet credits 252,960 — 10 tCO2e difference. Verifier: NSF. [Credit issuance 1 of 3 for this RP; RP total 252,960; er_match compares report ER to RP total.]</t>
  </si>
  <si>
    <t>Two destruction events; 58,730 lb of 'mostly refrigerant R-12'. Half-ton cylinders from Jaco Environmental reclaimed by Hudson Technologies (impurities removed), shipped in bulk ISO containers to Clean Harbors El Dorado AR. Lab (AHRI, GC): 'refrigerant in each container was more than 90% CFC-12 by weight.' Report ER 252,970 vs spreadsheet credits 252,960 — 10 tCO2e difference. Verifier: NSF. [Credit issuance 2 of 3 for this RP; RP total 252,960; er_match compares report ER to RP total.]</t>
  </si>
  <si>
    <t>Two destruction events; 58,730 lb of 'mostly refrigerant R-12'. Half-ton cylinders from Jaco Environmental reclaimed by Hudson Technologies (impurities removed), shipped in bulk ISO containers to Clean Harbors El Dorado AR. Lab (AHRI, GC): 'refrigerant in each container was more than 90% CFC-12 by weight.' Report ER 252,970 vs spreadsheet credits 252,960 — 10 tCO2e difference. Verifier: NSF. [Credit issuance 3 of 3 for this RP; RP total 252,960; er_match compares report ER to RP total.]</t>
  </si>
  <si>
    <t>Project Verification Report -ODS- Project EOS-JA-09-01 Period 2 07-11-2010 final #2.pdf</t>
  </si>
  <si>
    <t>Two destruction events; 62,640 lb of 'mostly refrigerant R-12'; lab: 'more than 90% CFC-12 by weight' in each container. Same chain as RP1 (Jaco → Hudson → Clean Harbors). MISMATCH: report ER 250,678 vs spreadsheet credits 238,980 (diff 11,698) — possibly partial issuance. Verifier: NSF. [Credit issuance 1 of 4 for this RP; RP total 238,980; er_match compares report ER to RP total.]</t>
  </si>
  <si>
    <t>Two destruction events; 62,640 lb of 'mostly refrigerant R-12'; lab: 'more than 90% CFC-12 by weight' in each container. Same chain as RP1 (Jaco → Hudson → Clean Harbors). MISMATCH: report ER 250,678 vs spreadsheet credits 238,980 (diff 11,698) — possibly partial issuance. Verifier: NSF. [Credit issuance 2 of 4 for this RP; RP total 238,980; er_match compares report ER to RP total.]</t>
  </si>
  <si>
    <t>Two destruction events; 62,640 lb of 'mostly refrigerant R-12'; lab: 'more than 90% CFC-12 by weight' in each container. Same chain as RP1 (Jaco → Hudson → Clean Harbors). MISMATCH: report ER 250,678 vs spreadsheet credits 238,980 (diff 11,698) — possibly partial issuance. Verifier: NSF. [Credit issuance 3 of 4 for this RP; RP total 238,980; er_match compares report ER to RP total.]</t>
  </si>
  <si>
    <t>Two destruction events; 62,640 lb of 'mostly refrigerant R-12'; lab: 'more than 90% CFC-12 by weight' in each container. Same chain as RP1 (Jaco → Hudson → Clean Harbors). MISMATCH: report ER 250,678 vs spreadsheet credits 238,980 (diff 11,698) — possibly partial issuance. Verifier: NSF. [Credit issuance 4 of 4 for this RP; RP total 238,980; er_match compares report ER to RP total.]</t>
  </si>
  <si>
    <t>Project Verification Report -ODS- Project EOS-JA-09-01 3rd Period 2010-08-06.pdf</t>
  </si>
  <si>
    <t>One destruction event; 25,800 lb 'mostly refrigerant R-12'; lab: 'more than 90% CFC-12 by weight'. MISMATCH: report ER 105,730 vs spreadsheet RP3 credits 49,000 — spreadsheet RP numbering may not align with CAR registry report numbering. Verifier: NSF.</t>
  </si>
  <si>
    <t>4 (not in issuance table)</t>
  </si>
  <si>
    <t>C_mixed_fill1</t>
  </si>
  <si>
    <t>Project Verification Report-ODS-Project EOS-JA-09-01 4th Rpt Period 2010-09-28.pdf</t>
  </si>
  <si>
    <t>mixed_unspecified</t>
  </si>
  <si>
    <t>n/a</t>
  </si>
  <si>
    <t>One destruction event; 23,800 lb 'comprised mostly of R-114 and R-11'; lab: 'a mixture of R-114 and R-11, with small amounts of R-12 and R-115' — no percentages. Spreadsheet has no RP4 row for CAR604; included for completeness. Verifier: NSF.</t>
  </si>
  <si>
    <t>Verification Report-ODS-EOS-JA-09-01 5th Per 2010-11-16 signed.pdf</t>
  </si>
  <si>
    <t>One destruction event; 33,200 lb of R-12 in one bulk ISO container (Hudson Technologies → Clean Harbors El Dorado AR). Lab (AHRI-700-2006, GC): 'the refrigerant was R-12 at a purity level of 95.94%'. Verifier: NSF-ISR.</t>
  </si>
  <si>
    <t>Verification Report-ODS-EOS-JA-09-01 6th Per 2010-12-11.pdf</t>
  </si>
  <si>
    <t>One destruction event; 26,120 lb of R-12 (Hudson Technologies → Clean Harbors El Dorado AR). Lab (AHRI-700-2006, GC): 'the refrigerant was R-12 at a purity level of 91.19%'. Verifier: NSF-ISR.</t>
  </si>
  <si>
    <t>Verification Report-ODS-EOS-JA-09-01 7th Per 2011-02-23 rev 1.pdf</t>
  </si>
  <si>
    <t xml:space="preserve">Two destruction events; 56,400 lb of 'R-12 mixed refrigerant'. MIXED — 'did not meet the 90% purity standard'; no species breakdown. Two ISO tanks aggregated/sampled at Hudson Technologies; AHRI lab, GC. Verifier: NSF-ISR. [Credit issuance 1 of 2 for this RP; RP total 176,882; er_match compares report ER to RP total.]; using average fill values overcredits by 20% indicating too much cfc-12 by </t>
  </si>
  <si>
    <t>Two destruction events; 56,400 lb of 'R-12 mixed refrigerant'. MIXED — 'did not meet the 90% purity standard'; no species breakdown. Two ISO tanks aggregated/sampled at Hudson Technologies; AHRI lab, GC. Verifier: NSF-ISR. [Credit issuance 2 of 2 for this RP; RP total 176,882; er_match compares report ER to RP total.]</t>
  </si>
  <si>
    <t>Verification_Report_RptPer8_2011-02-25.pdf</t>
  </si>
  <si>
    <t>MIXED ODS (&lt;90% purity): 'one container of mixed ODS, i.e. R-12, R-11, R-114, R-115 refrigerant', aggregated at Hudson Technologies (Champaign IL), destroyed at Clean Harbors El Dorado AR. No species percentage breakdown in report; AHRI-700-2006 lab via GC. Verifier: NSF-ISR. [Credit issuance 1 of 2 for this RP; RP total 57,125; er_match compares report ER to RP total.]</t>
  </si>
  <si>
    <t>MIXED ODS (&lt;90% purity): 'one container of mixed ODS, i.e. R-12, R-11, R-114, R-115 refrigerant', aggregated at Hudson Technologies (Champaign IL), destroyed at Clean Harbors El Dorado AR. No species percentage breakdown in report; AHRI-700-2006 lab via GC. Verifier: NSF-ISR. [Credit issuance 2 of 2 for this RP; RP total 57,125; er_match compares report ER to RP total.]</t>
  </si>
  <si>
    <t>GHG_Project_Verification_Report_RefEx_10_13_12 rev w corrections.pdf</t>
  </si>
  <si>
    <t>MIXED ODS (&lt;90% purity): 'mixed ODS (i.e. R-11, R-12, R-114, R-115 &lt;90% purity) refrigerant obtained from sources in the United States, primarily California' (10 half-ton containers). Destroyed at RemTec International (argon arc plasma), Bowling Green OH. No species breakdown. Verifier: NSF-ISR.</t>
  </si>
  <si>
    <t>Pure Chem ODS Verification Report Version-Final.pdf</t>
  </si>
  <si>
    <t>CFC-11 destruction: lab analysis (National Refrigerants Inc, AHRI-certified) 'purity of R-11 (CFC-11) which was 91.50%'. 21,480 lb on COD (ISO tank 60692), destroyed at Clean Harbors El Dorado AR. Material was residue from pharmaceutical-grade purification for a manufacturer. MISMATCH: report ER 35,437 tCO2e vs spreadsheet credits 27,437 (diff exactly 8,000 — possible buffer/other issuance). Verifier: Ruby Canyon Engineering.</t>
  </si>
  <si>
    <t>Final_ECC-ODS_PA_001VerificationReport.pdf</t>
  </si>
  <si>
    <t>Two destruction events at Clean Harbors El Dorado AR (COD ZIPU-6401635: 21,360 lb; COD SA4346: 3,535 lb). Lab (National Refrigerants, GC): both non-mixed ODS with 'R12 composition of greater than 90% by weight'; R11/R114/R115 + contaminants &lt;10%. Developer: Environmental Credit Corp. Verifier: TÜV SÜD. [Credit issuance 1 of 2 for this RP; RP total 106,398; er_match compares report ER to RP total.]</t>
  </si>
  <si>
    <t>Two destruction events at Clean Harbors El Dorado AR (COD ZIPU-6401635: 21,360 lb; COD SA4346: 3,535 lb). Lab (National Refrigerants, GC): both non-mixed ODS with 'R12 composition of greater than 90% by weight'; R11/R114/R115 + contaminants &lt;10%. Developer: Environmental Credit Corp. Verifier: TÜV SÜD. [Credit issuance 2 of 2 for this RP; RP total 106,398; er_match compares report ER to RP total.]</t>
  </si>
  <si>
    <t>ECC-ODS-PA-001 2nd VerificationReport_revised.pdf</t>
  </si>
  <si>
    <t>One destruction event at Clean Harbors El Dorado AR (COD ZIPU-6401912). Lab (GC): 'mixed ODS with R12 composition of less than 90% by weight'; R11/R114/R115 + contaminants &lt;10%; no exact percentages. Mixed-ODS circulation/sampling at Safe Disposal Systems (EPA Certified Reclaimer). Developer: ECC. Verifier: TÜV SÜD.</t>
  </si>
  <si>
    <t>ECC-ODS-PA-001 3rd VerificationReport.pdf</t>
  </si>
  <si>
    <t>One destruction event at Clean Harbors El Dorado AR (COD ZIPU-6401635-08-09-11). Lab (GC): 'mixed ODS with R11 and R12 compositions of less than 90% by weight'; R114/R115 + contaminants also present; no exact percentages. Developer: ECC. Verifier: TÜV SÜD.</t>
  </si>
  <si>
    <t>ECC-ODS-CA-002 Ver#2_VerificationReport_Revised.pdf</t>
  </si>
  <si>
    <t>One destruction event at Clean Harbors El Dorado AR (COD BOL6724653); 11,032 lb R-12 sourced from ARCA appliance recoveries (Compton CA). Lab (GC): 'non-mixed ODS with R12 composition of greater than 90% by weight'; R11/R114 + contaminants &lt;10%. MISMATCH: report ER 47,593 vs spreadsheet credits 27,951 (diff 19,642). Developer: ECC. Verifier: TÜV SÜD.</t>
  </si>
  <si>
    <t>A_lab_multi</t>
  </si>
  <si>
    <t>WSO 2011-1 V1.2.pdf</t>
  </si>
  <si>
    <t>lab_pct_per_container</t>
  </si>
  <si>
    <t>9 half-ton cylinders of CFC-12 destroyed at Clean Harbors El Dorado AR (2 CODs); 7,799 lb total. Per-cylinder lab purity (National Refrigerants Inc), '% by weight of CFC-12': range 95.42%–99.66% across cylinders (Table 3). Verifier: Ruby Canyon Engineering.</t>
  </si>
  <si>
    <t>WSO 2011 1 RP2 Verification Report Final.pdf</t>
  </si>
  <si>
    <t>CFC-12 destruction at Clean Harbors El Dorado AR; 15,269 lb total across multiple CODs. Lab (National Refrigerants Inc): mixed material 'ranged from 73.53% to 75.58% R-12' and pure material 'ranged from 91.86% to 93.19% R-12'. Verifier: Ruby Canyon Engineering.</t>
  </si>
  <si>
    <t>VerifReport-EOS-CAR2011DomesticP2R12011-05-18[1]final.pdf</t>
  </si>
  <si>
    <t>mixed_and_pure_unspecified</t>
  </si>
  <si>
    <t>Two destruction events at Clean Harbors El Dorado AR: 28,360 lb 'R-12 mixed refrigerant' (&lt;90% purity) + 21,860 lb 'pure R-12' (&gt;90% purity); aggregated at Hudson Technologies. No exact percentages. Verifier: NSF-ISR. [Credit issuance 1 of 2 for this RP; RP total 113,474; er_match compares report ER to RP total.]</t>
  </si>
  <si>
    <t>Two destruction events at Clean Harbors El Dorado AR: 28,360 lb 'R-12 mixed refrigerant' (&lt;90% purity) + 21,860 lb 'pure R-12' (&gt;90% purity); aggregated at Hudson Technologies. No exact percentages. Verifier: NSF-ISR. [Credit issuance 2 of 2 for this RP; RP total 113,474; er_match compares report ER to RP total.]</t>
  </si>
  <si>
    <t>VerificationReport-EOS-CAR2011DomesticP2R2_05-30-2011.pdf</t>
  </si>
  <si>
    <t>"In this reporting period EOS Climate acquired
14,352 lbs. pounds of mixed ODS (R-12, R-11, R-114, R-115) from Hudson Technologies and
10,768 lbs. pounds of pure R-12 (ranging from 95.2-99.99%)";  Verifier: NSF-ISR.</t>
  </si>
  <si>
    <t>A_lab_mixed</t>
  </si>
  <si>
    <t>VerifReport-EOS-CAR2011DomesticP2R3_07-22-2011.pdf</t>
  </si>
  <si>
    <t>Two destruction events at Clean Harbors El Dorado AR; 15,220 lb: 'two ISO containers of pure ODS (i.e. &gt;90% R-12 or R-11)' from a reclaimer in Nashville TN.  Verifier: NSF-ISR. [Credit issuance 1 of 2 for this RP; RP total 47,339; er_match compares report ER to RP total.]</t>
  </si>
  <si>
    <t>Two destruction events at Clean Harbors El Dorado AR; 15,220 lb: 'two ISO containers of pure ODS (i.e. &gt;90% R-12 or R-11)' from a reclaimer in Nashville TN. Verifier: NSF-ISR. [Credit issuance 2 of 2 for this RP; RP total 47,339; er_match compares report ER to RP total.]</t>
  </si>
  <si>
    <t>VerifReport-EOS-CAR2011DomesticP2R4_08-08-2011_Final rev.1.pdf</t>
  </si>
  <si>
    <t>Two destruction events at Clean Harbors El Dorado AR; 51,080 lb mixed ODS refrigerant (&lt;90% purity) from Hudson Technologies (Champaign IL); species not listed; no breakdown. MISMATCH: report ER 145,023 vs spreadsheet credits 127,688 (diff 17,335). Verifier: NSF-ISR.</t>
  </si>
  <si>
    <t>VerifReport-EOS-CAR2011DomesticP2R5_10-12-2011 Rev 3.pdf</t>
  </si>
  <si>
    <t>Two destruction events at Clean Harbors El Dorado AR; 39,080 lb ODS refrigerant; at least one container mixed (&lt;90% purity) from Polar Technology facility; species not listed. SLIGHT MISMATCH: report ER 118,092 vs spreadsheet credits 117,427 (diff 665). Verifier: NSF-ISR.</t>
  </si>
  <si>
    <t>VerifReport-EOS-CAR2011DomesticP2R6_11-09-2011 rev.2.pdf</t>
  </si>
  <si>
    <t>One destruction event at Clean Harbors El Dorado AR; 15,480 lb 'pure R-12 (approximately 99.16%)' from JACO Environmental facilities (ISO container #1221572). Verifier: NSF-ISR.</t>
  </si>
  <si>
    <t>VerifReport-EOS-CAR2011DomesticP2R7_2011-12-12.pdf</t>
  </si>
  <si>
    <t>Two destruction events at Clean Harbors El Dorado AR; 26,740 lb total: 16,320 lb concentrated R-12 (&gt;90%, ISO #1220724, JACO + Hudson) + 10,420 lb mixed R-12 (&lt;90%, ISO #1221588, Polar Technology). No exact percentages. Verifier: NSF-ISR.</t>
  </si>
  <si>
    <t>Pure Chem ODS Destruction Project #3_Verification Report_Final.pdf</t>
  </si>
  <si>
    <t>"All parameters of the analysis exceeded the requirements of the protocol including the purity of R‐12 which was 34.88%, R‐114 which was 20.81%, and R‐115 which was 0.59%."</t>
  </si>
  <si>
    <t>VerifReport-RemTec-CAR2011DomesticP1R1_08-28-2011.pdf</t>
  </si>
  <si>
    <t>One destruction event at RemTec, Bowling Green OH; 31,512 lb 'mixed ODS (i.e. R-12, R-11, R-114, R-115)' (&lt;90% purity); 28 containers aggregated into one 5,500-gal tank; no species breakdown. Verifier: NSF-ISR.</t>
  </si>
  <si>
    <t>VerifReport-RemTec-CAR2011DomesticP1R2_11-15-2011.pdf</t>
  </si>
  <si>
    <t>One destruction event at RemTec, Bowling Green OH; 17,120 lb mixed ODS refrigerant (&lt;90% purity); 19 containers aggregated into one 5,500-gal tank; no species breakdown. Verifier: NSF-ISR.</t>
  </si>
  <si>
    <t>VerifReport-RemTec-CAR2011Domestic_P1R3_06-27-2012.pdf</t>
  </si>
  <si>
    <t>Five destruction events at RemTec, Bowling Green OH; 44,689 lb mixed ODS refrigerant (&lt;90% purity, all events); aggregated per event in 5,500-gal tank; no species breakdown. Verifier: NSF-ISR.</t>
  </si>
  <si>
    <t>Pure Chem ODS Verification Report Final.pdf (CAR832)</t>
  </si>
  <si>
    <t>Mixed CFC-11/CFC-12/CFC-115 destroyed at Clean Harbors El Dorado AR (ISO tank NQT; COD NQT6-4-2011; 9,140 lb). Lab (National Refrigerants Inc) at Clean Harbors: 'purity of R-12 which was 53.42%, R-11 which was 44.90%, and R-115 which was 0.07%' (used in pct columns); at mixing tank 5 (Perrone): R-12 59.39%, R-11 39.23%, R-115 0.08%. Verifier: Ruby Canyon Engineering.</t>
  </si>
  <si>
    <t>Pure Chem ODS Verification Report RP1 1.2.pdf</t>
  </si>
  <si>
    <t>Mixed ODS destroyed at Clean Harbors El Dorado AR (ISO tank DCIU5420067); 12,900 lb. Lab (National Refrigerants Inc) at Clean Harbors: 'purity of R-12 which was 37.46%, R-115 which was 1.70%, R-11 which was 1.03%, and R-114 which was 0.07%' (used in pct columns); at mixing (Perrone, Rhome TX): R-12 37.65%, R-115 1.68%, R-11 1.04%, R-114 0.07%. ODS sums to ~40% — remainder not specified in report. Verifier: Ruby Canyon Engineering.</t>
  </si>
  <si>
    <t>Pure Chem #5 RP2 Verification Report Final.pdf</t>
  </si>
  <si>
    <t>Mixed ODS destroyed at Clean Harbors El Dorado AR; 31,640 lb. Lab (National Refrigerants Inc) at Clean Harbors: 'R-11 which was 62.79%, R-12 which was 0.11%, and R-114 which was 34.88%' (used in pct columns); at mixing (Perrone, Rhome TX): R-11 63.08%, R-12 0.01%, R-114 34.74%. Verifier: Ruby Canyon Engineering.</t>
  </si>
  <si>
    <t>Pure Chem #5 RP3 Verification Report Final.pdf</t>
  </si>
  <si>
    <t>lab_pct_multi_event</t>
  </si>
  <si>
    <t>Two destruction events at Clean Harbors El Dorado AR; 17,960 lb total. Event 1 (mixed): Clean Harbors lab 'R-11 which was 0.25%, R-12 which was 67.23%, R-114 which was 0.65%, and R-115 which was 2.84%'. Event 2 (non-mixed R-11): 'contained 97.83% R-11, 0.61% R-12, 0.17% R-114 and 0.05% R-115'. Pct columns left blank because two events differ. MISMATCH: report ER 40,917 vs spreadsheet credits 38,704 (diff 2,213). Verifier: Ruby Canyon Engineering.</t>
  </si>
  <si>
    <t>Pure Chem #5 RP4 Verification Report Final.pdf</t>
  </si>
  <si>
    <t>Three destruction events at Clean Harbors El Dorado AR; 42,040 lb total: 18,400 lb mixed R-11 ('87.09% R-11, 7.34% R-114, 0.23% R-12, 0% R-115'), 7,840 lb non-mixed R-11 ('97.96% R-11, 0.08% R-12, 0.90% R-114'), 15,800 lb mixed R-12 ('81.41% R-12, 4.13% R-115, 1.11% R-11, 0.06% R-114'). Lab: National Refrigerants Inc. ER: 33,342 tCO2e (2011 vintage) + 71,821 (2012 vintage) sum 105,163 vs spreadsheet credits 102,276 (diff 2,887). Verifier: Ruby Canyon Engineering.</t>
  </si>
  <si>
    <t>Verification_Report_2011-10-19_Rev.pdf</t>
  </si>
  <si>
    <t>virgin_single_species</t>
  </si>
  <si>
    <t>One destruction event; 23,040 lb of 'virgin CFC-11 refrigerant' destroyed at Veolia ES hazardous waste combustion facility, Port Arthur TX. No lab percentage given in extracted text. Developer: RemTec International (Bowling Green OH). Verifier: NSF-ISR.</t>
  </si>
  <si>
    <t>Verification_Report_2011-12-21.pdf</t>
  </si>
  <si>
    <t>One destruction event; 23,680 lb of 'virgin CFC-11 refrigerant' destroyed at Veolia ES, Port Arthur TX. Verifier: NSF-ISR.</t>
  </si>
  <si>
    <t>Verification_Report_RemTec_P2R3_2012-02-23.pdf</t>
  </si>
  <si>
    <t>Two destruction events (2011-12-15/16 and 2011-12-22/24); 42,300 lb of 'virgin CFC-11 refrigerant' destroyed at Veolia ES, Port Arthur TX. Verifier: NSF-ISR.</t>
  </si>
  <si>
    <t>HoneywellODSProject_VerificationReport.pdf</t>
  </si>
  <si>
    <t>27,540 lb R-11 destroyed at Clean Harbors El Dorado AR (COD EURU530092611-29-11). Lab (National Refrigerants Inc, GC): 'non-mixed ODS with R11 composition of greater than 90% by weight'. Developer: Honeywell International. Verifier: TÜV SÜD.</t>
  </si>
  <si>
    <t>LRQA Verif Report_Honeywell ODS Project_Dec24-27_2011_rev1.pdf</t>
  </si>
  <si>
    <t>9,460 lb of unsold virgin CFC-11 (produced by Honeywell before 1996, Wilson Warehouse Baton Rouge LA) destroyed at Clean Harbors El Dorado AR (COD ETNU540028-212-27-11). Lab: 'non-mixed ODS with CFC-11 composition of greater than 90 percent by weight' (GC). Verifier: LRQA Americas.</t>
  </si>
  <si>
    <t>LRQA Verif Report_Honeywell ODS Project_Feb29-Mar7_2012_rev1.pdf</t>
  </si>
  <si>
    <t>8,166 lb of virgin ODS stockpiles (Honeywell Wilson Warehouse, Baton Rouge LA) destroyed at Clean Harbors El Dorado AR. Lab: 'non-mixed ODS with CFC-12 composition of greater than 90 percent by weight' (GC). Vintage 2012: baseline 37,429 - project 3,098 = 34,332. Verifier: LRQA Americas.</t>
  </si>
  <si>
    <t>LRQA Verif Report_Honeywell ODS Project_May28-Jun12_2012_rev1.pdf</t>
  </si>
  <si>
    <t xml:space="preserve">10,437 lb mixed ODS 'consisting of CFC-11, CFC-12 and CFC-115' (&lt;90% single species) stored at Honeywell, sampled at Hudson Technologies (Champaign IL), destroyed at Clean Harbors El Dorado AR. Species breakdown derived from reported per gas Q parameters. </t>
  </si>
  <si>
    <t>CAR905 Final Verification Report_2011-12-22.pdf</t>
  </si>
  <si>
    <t>R-12 (stockpiled, points of origin in TX/LA) destroyed at Clean Harbors El Dorado AR. Lab (AHRI-certified): 'ISO container contained greater than 90 percent R-12'. Total weight not extracted from report text. ER: baseline 135,607 - project 10,301 = 125,306. Verifier: First Environment.</t>
  </si>
  <si>
    <t>Final Verification Report_CAR905_2012-02-09.pdf</t>
  </si>
  <si>
    <t>R-12 destroyed at Clean Harbors El Dorado AR. Lab: 'ISO container contained greater than 90 percent R-12'. ER: baseline 78,595 - project 5,913 = 72,682. Verifier: First Environment.</t>
  </si>
  <si>
    <t>WSO 2011 2 RP1 Verification Report Final.pdf</t>
  </si>
  <si>
    <t>R-12 and R-11 purchased from an EPA-certified reclaimer; mixed ODS circulated/sampled and destroyed at RemTec (argon arc plasma), Bowling Green OH; 12,519 lb. Lab purities reviewed by verifier but values not stated in report text. Verifier: Ruby Canyon Engineering.</t>
  </si>
  <si>
    <t>A_species_mass</t>
  </si>
  <si>
    <t>CAR945 Verification Report_2012-12-06.pdf</t>
  </si>
  <si>
    <t>CFC-11 (886 lb, electric utility TX) + CFC-12 (1,075 lb appliance recovery CA; 384 lb + 10,575 lb stockpiled, Perfect Score, Red Oak TX). Lab (AHRI): 'containers contained greater than 90 percent CFC-12 or CFC-11'. ER: baseline 56,830 - project 4,330 = 52,500. Verifier: First Environment.</t>
  </si>
  <si>
    <t>VerifReport-EOS-CAR2012DomesticP3R1_2012-02-21.pdf</t>
  </si>
  <si>
    <t>One ISO container of pure ODS (&gt;90% R-12) aggregated by Hudson Technologies, destroyed at Clean Harbors El Dorado AR; 15,280 lb. Verifier: NSF-ISR. [Credit issuance 1 of 2 for this RP; RP total 65,501; er_match compares report ER to RP total.]</t>
  </si>
  <si>
    <t>One ISO container of pure ODS (&gt;90% R-12) aggregated by Hudson Technologies, destroyed at Clean Harbors El Dorado AR; 15,280 lb. Verifier: NSF-ISR. [Credit issuance 2 of 2 for this RP; RP total 65,501; er_match compares report ER to RP total.]</t>
  </si>
  <si>
    <t>VerifReport-EOS-CAR2012DomesticP3R2_Final.pdf</t>
  </si>
  <si>
    <t>One ISO container of pure ODS (&gt;90% R-12), concentrated R-12 from JACO facilities aggregated by Hudson Technologies, destroyed at Clean Harbors El Dorado AR; 20,560 lb. Verifier: NSF-ISR.</t>
  </si>
  <si>
    <t>VerifReport-EOS-CAR2012DomesticP3R1_2012-03-26.pdf</t>
  </si>
  <si>
    <t>NOTE: filename says R1 but text states 'In this third reporting period' and ER matches spreadsheet RP3. One ISO container of mixed ODS (&lt;90% purity) aggregated by Hudson Technologies, destroyed at Clean Harbors El Dorado AR; 31,340 lb. No species breakdown. Verifier: NSF-ISR.</t>
  </si>
  <si>
    <t>Verification Report-EOS-CAR2012 Domestic P3R4_2012-04-15 EOS accepted.pdf</t>
  </si>
  <si>
    <t>One ISO container of pure ODS from a single source, aggregated by Polar Technology (Nashville TN), destroyed at Clean Harbors El Dorado AR; 14,620 lb. Lab (AHRI-700-2006): 'the ODS was greater than 90% R-11'. Verifier: NSF-ISR.</t>
  </si>
  <si>
    <t>VerifReport-EOS-CAR2012DomesticP3R5_FINAL.pdf</t>
  </si>
  <si>
    <t>One ISO container of pure ODS (&gt;90% R-12), concentrated R-12 from JACO facilities aggregated by Hudson Technologies, destroyed at Clean Harbors El Dorado AR; 24,560 lb. Verifier: NSF-ISR.</t>
  </si>
  <si>
    <t>VerifReport-EOS-CAR2012DomesticP3RP6_07-10-2012[3].pdf</t>
  </si>
  <si>
    <t>One ISO container of mixed ODS (&lt;90% purity) aggregated by Hudson Technologies, destroyed at Clean Harbors El Dorado AR; 15,900 lb. No species breakdown. Verifier: NSF-ISR.</t>
  </si>
  <si>
    <t>Verification Report 2012-07-21 subm.pdf</t>
  </si>
  <si>
    <t>One ISO container of pure ODS (&gt;90% R-12), concentrated R-12 from JACO facilities aggregated by Hudson Technologies, destroyed at Clean Harbors El Dorado AR; 15,260 lb. Verifier: NSF-ISR.</t>
  </si>
  <si>
    <t>VA Report EOS CAR Domestic2012 P3RP8 final 09-09-2012[2].pdf</t>
  </si>
  <si>
    <t>One ISO container of pure ODS (&gt;90% R-12), concentrated R-12 from JACO facilities aggregated by Hudson Technologies, destroyed at Clean Harbors El Dorado AR; 23,320 lb. Verifier: NSF-ISR.</t>
  </si>
  <si>
    <t>VerifReport-EOS-CAR2012DomesticP3R9_FINAL.pdf</t>
  </si>
  <si>
    <t>One ISO container of pure ODS (&gt;90% R-12), concentrated R-12 from JACO + other sources aggregated by Hudson Technologies, destroyed at Clean Harbors El Dorado AR; 31,360 lb. Verifier: NSF-ISR.</t>
  </si>
  <si>
    <t>VerifReport-EOS-CAR2012DomesticP3R10_2012-11-29 Final.pdf</t>
  </si>
  <si>
    <t>One ISO container of pure ODS (&gt;90% R-11), concentrated R-11 from Hudson Technologies + other sources, destroyed at Clean Harbors El Dorado AR; 15,260 lb. Verifier: NSF-ISR.</t>
  </si>
  <si>
    <t>VerifReport_EOS CAR2012 Domestic P3R11_Final.pdf</t>
  </si>
  <si>
    <t>One ISO container of pure ODS (&gt;90% R-12), concentrated R-12 from Hudson + JACO, destroyed at Clean Harbors El Dorado AR; 22,820 lb. Verifier: NSF-ISR.</t>
  </si>
  <si>
    <t>VerifReport-EOS-CAR2012DomesticP3R12_Final.pdf</t>
  </si>
  <si>
    <t>Two ISO containers of pure ODS (&gt;90% R-11), concentrated R-11 from Hudson (Champaign IL) + Polar Technology (Nashville TN; 20,300 lb of the total), destroyed at Clean Harbors El Dorado AR; 27,000 lb. Verifier: NSF-ISR.</t>
  </si>
  <si>
    <t>CAR-947 Verification Report - Final.pdf</t>
  </si>
  <si>
    <t>Single destruction event of mixed ODS including R-11, R-12, R-114 and R-115; 32,340 lb (per COD). USA Refrigerants purchased CFC-11/12/114/115 from multiple US sources; aggregated/mixed/sampled at Safe Disposal Inc; destroyed at Clean Harbors El Dorado AR. No species percentages found in report text. MISMATCH: report ER 95,546 vs spreadsheet credits 93,638 (diff 1,908). Verifier: Ruby Canyon Engineering.</t>
  </si>
  <si>
    <t>CAR-947 RP2 Verification Report Final.pdf</t>
  </si>
  <si>
    <t>Single destruction event of mixed ODS including R-11, R-12, R-114 and R-115; 28,520 lb. Aggregated/mixed/sampled at Safe Disposal Inc; destroyed at Clean Harbors El Dorado AR. No species percentages in report text. Verifier: Ruby Canyon Engineering.</t>
  </si>
  <si>
    <t>CAR-947 RP3 Verification Report Final.pdf</t>
  </si>
  <si>
    <t>Single destruction event of non-mixed ODS (R-11, R-12, R-114, R-115) at Clean Harbors El Dorado AR. Lab (NRI): 'The composition of the eligible ODS used for the GHG assertion was 0.01% R-11, 99.72% R-12, 0.02% R-114 and 0.01% R-115.' Weight not extracted from report text. Verifier: Ruby Canyon Engineering.</t>
  </si>
  <si>
    <t>Coolgas US ODS Project 2 Verification Report Final.pdf</t>
  </si>
  <si>
    <t>Three destruction events at RemTec, Bowling Green OH; 42,645 lb total: 975 lb non-mixed R-12 ('contained 99.96% R-12'), 20,270 lb mixed R-12 ('77.62% R-12 and 0.83% R-115', lowest GWP-weighted sample), 21,400 lb non-mixed R-12 ('97.38% R-12 and 0.83% R-115'). Lab: National Refrigerants Inc. ER 4,233 (2011 vintage) + 159,651 (2012 vintage) = 163,884. Verifier: Ruby Canyon Engineering.</t>
  </si>
  <si>
    <t>PCS Domestic ODS Destruction Project 6 Verification Report Final.pdf</t>
  </si>
  <si>
    <t>Two destruction events at Clean Harbors El Dorado AR (two ISO tankers; 34,160 + 19,880 lb). Lab (NRI): event 1 'contained 99.84% R-12, 0.03% R-11, and 0.02% R-114'; event 2 'contained 99.78% R-12, 0.04% R-11, and 0.01% R-114'. MISMATCH: report ER 234,374 (2012 vintage) vs spreadsheet credits 232,039 (diff 2,335). Verifier: Ruby Canyon Engineering.</t>
  </si>
  <si>
    <t>PCS Domestic ODS Destruction Project 6 RP2 - Verification Report Final.docx.pdf</t>
  </si>
  <si>
    <t>One destruction event at Clean Harbors El Dorado AR (one ISO tanker); 22,580 lb. Lab (NRI): 'contained 99.85% R-12, 0.03% R-11, and 0.02% R-114'. MISMATCH: report ER 97,962 (2012 vintage) vs spreadsheet credits 96,833 (diff 1,129). Verifier: Ruby Canyon Engineering.</t>
  </si>
  <si>
    <t>PCS Domestic ODS Destruction Project #7 (CAR954) Verification Report Final.pdf</t>
  </si>
  <si>
    <t>Two material streams destroyed at Clean Harbors El Dorado AR; 30,940 lb total: 10,800 lb mixed R-12 ('composition of the ODS was 72.08% R-12, 11.83% R-115, 0.29% R-11 and 0.03% R-114'; mixed at Perrone &amp; Associates, Rhome TX) + 20,140 lb non-mixed R-11 ('contained 93.59% R-11, 0.04% R-12, and 4.29% R-114'). Lab: NRI. MISMATCH: report ER 73,584 (2012 vintage) vs spreadsheet credits 72,653 (diff 931). Verifier: Ruby Canyon Engineering.</t>
  </si>
  <si>
    <t>Rap Rec ODS Verification report 2012-08-12 Rev1.pdf</t>
  </si>
  <si>
    <t>single_species_unspecified_purity</t>
  </si>
  <si>
    <t>One destruction event; 30,950 lb of 'ODS (CFC-11) refrigerant' destroyed at RemTec International, Bowling Green OH. Developer: RapRec Refrigerants Inc (Peoria AZ). No purity statement found in extracted text. Verifier: NSF-ISR.</t>
  </si>
  <si>
    <t>Verification_Report_RapRec_2nd_Rpt_Per.pdf</t>
  </si>
  <si>
    <t>Two destruction events; 65,581 lb of 'ODS (CFC-11)' destroyed at RemTec International, Bowling Green OH. Verifier: NSF-ISR.</t>
  </si>
  <si>
    <t>CAR960 DPC Domestic ODS Destruction Project #8 Verification Report Final.pdf</t>
  </si>
  <si>
    <t>Two destruction events at Clean Harbors El Dorado AR (two-compartment ISO tanker PCS-3); 14,000 lb total: 4,220 lb non-mixed R-11 ('contained 96.78% R-11 and 0.01% R-12') + 9,780 lb non-mixed R-12 ('contained 91.76% R-12, 0.14% R-11, 0.60% R-115, and 0.02% R-114'). Lab: NRI. MISMATCH: report ER 46,511 (2012 vintage) vs spreadsheet credits 45,156 (diff 1,355). Verifier: Ruby Canyon Engineering.</t>
  </si>
  <si>
    <t>CAR974 RemTec ODS Destruction Domestic Project #2 Verification Report Final.pdf</t>
  </si>
  <si>
    <t>Five destruction events at RemTec, Bowling Green OH; 66,398 lb total of mixed R-11 and R-12 (stockpiled and non-stockpiled sources). No species percentages found in report text. Verifier: Ruby Canyon Engineering.</t>
  </si>
  <si>
    <t>CAR974 RemTec ODS Destruction Domestic Project #2 RP2 Verification Report Final.pdf</t>
  </si>
  <si>
    <t>Two destruction events at RemTec, Bowling Green OH; 15,532 lb total of mixed R-11 and R-12. No species percentages found in report text. Verifier: Ruby Canyon Engineering.</t>
  </si>
  <si>
    <t>CAR981 DPC Project #11 Verification Report Final.pdf</t>
  </si>
  <si>
    <t>Non-mixed R-12 destroyed at Clean Harbors El Dorado AR (ISO tanker PCS-1); 18,860 lb. Lab (NRI): 'contained 99.93% R-12'. Verifier: Ruby Canyon Engineering.</t>
  </si>
  <si>
    <t>registry RP1</t>
  </si>
  <si>
    <t>Verification_Report_EOS-990_RP1_2013-07-07.pdf</t>
  </si>
  <si>
    <t>One ISO container of pure ODS (&gt;90% R-12) from Hudson Technologies + 3 other sources, destroyed at Clean Harbors El Dorado AR; 30,100 lb. NOTE: registry report says first reporting period; ER matches a spreadsheet row labeled RP4 (130,010) — spreadsheet RP numbering for CAR990 appears not to match registry report numbering. Verifier: NSF-ISR.; crediting replicated assuming 99.5% CFC-12</t>
  </si>
  <si>
    <t>VerifReport-EOS2013Dom CAR990_ P2_2013-08-05 ver 2.pdf</t>
  </si>
  <si>
    <t>One ISO container of pure ODS (&gt;90% R-12) from JACO facilities aggregated by Hudson Technologies, destroyed at Clean Harbors El Dorado AR; 22,180 lb. Verifier: NSF-ISR.</t>
  </si>
  <si>
    <t>VerifReport-EOS-990_RP3_Final.pdf</t>
  </si>
  <si>
    <t>One ISO container of pure ODS (&gt;90% R-12) from JACO Environmental aggregated by Hudson Technologies, destroyed at Clean Harbors El Dorado AR; 23,380 lb. Verifier: NSF-ISR.</t>
  </si>
  <si>
    <t>VerifReport-EOS-990_RP4_v. 2.pdf</t>
  </si>
  <si>
    <t>approx</t>
  </si>
  <si>
    <t>One ISO container of mixed ODS from various sources aggregated by Hudson Technologies, destroyed at Clean Harbors El Dorado AR; 20,160 lb. No species breakdown. SLIGHT MISMATCH: report ER 41,081 vs spreadsheet credits 41,061 (diff 20). Note: spreadsheet also labels the 130,010 issuance as RP4 — that ER matches the registry's RP1 report instead. Verifier: NSF-ISR.</t>
  </si>
  <si>
    <t>CAR1003 DPC Domestic ODS Destruction Project 13 Verification Report Final.pdf</t>
  </si>
  <si>
    <t>Non-mixed R-12 destroyed at Clean Harbors, El Dorado AR. Lab analysis by National Refrigerants Inc: 'The sample contained 97.05% R-12, 0.06% R-11, and 0.05% R-115.' HBR subtracted from COD weight. Verifier: Ruby Canyon Engineering.</t>
  </si>
  <si>
    <t>Final Verification Report_2014-05-23.pdf</t>
  </si>
  <si>
    <t>Non-mixed CFC-12 'including trace amounts of CFC-11, CFC-114, and CFC-115' destroyed at RemTec, Bowling Green OH. Lab (AHRI-certified): 'greater than 90 percent CFC-12' — no exact percentages. Sources: 1,967 lb non-stockpiled (Golden Nugget Casino, Atlantic City NJ) + 23,615 lb stockpiled (LSI, Houston TX). ER 108,627 (baseline 117,461 - project 8,834). Verifier: First Environment.</t>
  </si>
  <si>
    <t>mass eligible ods sent for destruction (lbsODS)</t>
  </si>
  <si>
    <t>BE_foam (Eq 5.4)</t>
  </si>
  <si>
    <t>mass baseline emissions from ODS blowing agent (mtCO2e)</t>
  </si>
  <si>
    <t>GWP_i  (Table B.2)</t>
  </si>
  <si>
    <t>ER_i,app (Table B.2)</t>
  </si>
  <si>
    <t xml:space="preserve">appliance ODS blowing agent 10-year ER </t>
  </si>
  <si>
    <t>ER_i,build (Table B.2)</t>
  </si>
  <si>
    <t>building ODS blowing agent 10-year ER</t>
  </si>
  <si>
    <t>BA_pr (Eq 5.7)</t>
  </si>
  <si>
    <t>Total mass off ODS blowing agent from appliance foam released during ODS extraction</t>
  </si>
  <si>
    <t>contribution diff (%)</t>
  </si>
  <si>
    <t>GWP ODS (tco2e / t ods)</t>
  </si>
  <si>
    <t>mass eligible ods (lbs)</t>
  </si>
  <si>
    <t>mass eligible ods (tons)</t>
  </si>
  <si>
    <t>mass eligible ods (tco2e)</t>
  </si>
  <si>
    <t xml:space="preserve">contibution ratio </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</si>
</sst>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m/d/yyyy"/>
    <numFmt numFmtId="165" formatCode="m/d/yy"/>
    <numFmt numFmtId="166" formatCode="#,##0.000"/>
    <numFmt numFmtId="167" formatCode="0.000"/>
    <numFmt numFmtId="168" formatCode="0.000%"/>
    <numFmt numFmtId="169" formatCode="0.0000"/>
    <numFmt numFmtId="170" formatCode="yyyy-mm-dd"/>
    <numFmt numFmtId="171" formatCode="#,##0.0000"/>
  </numFmts>
  <fonts count="9">
    <font>
      <sz val="10.0"/>
      <color rgb="FF000000"/>
      <name val="Arial"/>
      <scheme val="minor"/>
    </font>
    <font>
      <b/>
      <color theme="1"/>
      <name val="Arial"/>
      <scheme val="minor"/>
    </font>
    <font>
      <color theme="1"/>
      <name val="Arial"/>
      <scheme val="minor"/>
    </font>
    <font>
      <u/>
      <color rgb="FF0000FF"/>
    </font>
    <font>
      <u/>
      <color rgb="FF0000FF"/>
    </font>
    <font>
      <color theme="1"/>
      <name val="Arial"/>
    </font>
    <font>
      <u/>
      <color rgb="FF0000FF"/>
    </font>
    <font>
      <b/>
      <color theme="1"/>
      <name val="Arial"/>
    </font>
    <font>
      <color rgb="FF000000"/>
      <name val="Arial"/>
      <scheme val="minor"/>
    </font>
  </fonts>
  <fills count="8">
    <fill>
      <patternFill patternType="none"/>
    </fill>
    <fill>
      <patternFill patternType="lightGray"/>
    </fill>
    <fill>
      <patternFill patternType="solid">
        <fgColor rgb="FFFCE5CD"/>
        <bgColor rgb="FFFCE5CD"/>
      </patternFill>
    </fill>
    <fill>
      <patternFill patternType="solid">
        <fgColor rgb="FFFFF2CC"/>
        <bgColor rgb="FFFFF2CC"/>
      </patternFill>
    </fill>
    <fill>
      <patternFill patternType="solid">
        <fgColor rgb="FFF3F3F3"/>
        <bgColor rgb="FFF3F3F3"/>
      </patternFill>
    </fill>
    <fill>
      <patternFill patternType="solid">
        <fgColor rgb="FFD9EAD3"/>
        <bgColor rgb="FFD9EAD3"/>
      </patternFill>
    </fill>
    <fill>
      <patternFill patternType="solid">
        <fgColor rgb="FFF4CCCC"/>
        <bgColor rgb="FFF4CCCC"/>
      </patternFill>
    </fill>
    <fill>
      <patternFill patternType="solid">
        <fgColor rgb="FFB6D7A8"/>
        <bgColor rgb="FFB6D7A8"/>
      </patternFill>
    </fill>
  </fills>
  <borders count="3">
    <border/>
    <border>
      <left style="thin">
        <color rgb="FF000000"/>
      </left>
    </border>
    <border>
      <right style="thin">
        <color rgb="FF000000"/>
      </right>
    </border>
  </borders>
  <cellStyleXfs count="1">
    <xf borderId="0" fillId="0" fontId="0" numFmtId="0" applyAlignment="1" applyFont="1"/>
  </cellStyleXfs>
  <cellXfs count="91">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wrapText="0"/>
    </xf>
    <xf borderId="1" fillId="0" fontId="1" numFmtId="0" xfId="0" applyAlignment="1" applyBorder="1" applyFont="1">
      <alignment readingOrder="0"/>
    </xf>
    <xf borderId="1" fillId="0" fontId="1" numFmtId="4" xfId="0" applyAlignment="1" applyBorder="1" applyFont="1" applyNumberFormat="1">
      <alignment readingOrder="0"/>
    </xf>
    <xf borderId="0" fillId="0" fontId="1" numFmtId="4" xfId="0" applyAlignment="1" applyFont="1" applyNumberFormat="1">
      <alignment readingOrder="0"/>
    </xf>
    <xf borderId="2" fillId="0" fontId="1" numFmtId="4" xfId="0" applyAlignment="1" applyBorder="1" applyFont="1" applyNumberFormat="1">
      <alignment readingOrder="0"/>
    </xf>
    <xf borderId="2" fillId="0" fontId="1" numFmtId="4" xfId="0" applyAlignment="1" applyBorder="1" applyFont="1" applyNumberFormat="1">
      <alignment readingOrder="0" shrinkToFit="0" wrapText="0"/>
    </xf>
    <xf borderId="0" fillId="0" fontId="2" numFmtId="0" xfId="0" applyAlignment="1" applyFont="1">
      <alignment readingOrder="0"/>
    </xf>
    <xf borderId="0" fillId="0" fontId="2" numFmtId="164" xfId="0" applyAlignment="1" applyFont="1" applyNumberFormat="1">
      <alignment readingOrder="0"/>
    </xf>
    <xf borderId="0" fillId="0" fontId="3" numFmtId="0" xfId="0" applyAlignment="1" applyFont="1">
      <alignment readingOrder="0" shrinkToFit="0" wrapText="0"/>
    </xf>
    <xf borderId="0" fillId="0" fontId="2" numFmtId="3" xfId="0" applyAlignment="1" applyFont="1" applyNumberFormat="1">
      <alignment readingOrder="0"/>
    </xf>
    <xf borderId="1" fillId="0" fontId="2" numFmtId="0" xfId="0" applyAlignment="1" applyBorder="1" applyFont="1">
      <alignment readingOrder="0"/>
    </xf>
    <xf borderId="1" fillId="0" fontId="2" numFmtId="4" xfId="0" applyBorder="1" applyFont="1" applyNumberFormat="1"/>
    <xf borderId="0" fillId="0" fontId="2" numFmtId="4" xfId="0" applyFont="1" applyNumberFormat="1"/>
    <xf borderId="2" fillId="0" fontId="2" numFmtId="4" xfId="0" applyBorder="1" applyFont="1" applyNumberFormat="1"/>
    <xf borderId="2" fillId="0" fontId="2" numFmtId="4" xfId="0" applyAlignment="1" applyBorder="1" applyFont="1" applyNumberFormat="1">
      <alignment shrinkToFit="0" wrapText="0"/>
    </xf>
    <xf borderId="0" fillId="0" fontId="2" numFmtId="4" xfId="0" applyAlignment="1" applyFont="1" applyNumberFormat="1">
      <alignment readingOrder="0"/>
    </xf>
    <xf borderId="1" fillId="0" fontId="2" numFmtId="4" xfId="0" applyAlignment="1" applyBorder="1" applyFont="1" applyNumberFormat="1">
      <alignment readingOrder="0"/>
    </xf>
    <xf borderId="2" fillId="0" fontId="2" numFmtId="4" xfId="0" applyAlignment="1" applyBorder="1" applyFont="1" applyNumberFormat="1">
      <alignment readingOrder="0"/>
    </xf>
    <xf borderId="2" fillId="0" fontId="2" numFmtId="4" xfId="0" applyAlignment="1" applyBorder="1" applyFont="1" applyNumberFormat="1">
      <alignment readingOrder="0" shrinkToFit="0" wrapText="0"/>
    </xf>
    <xf borderId="0" fillId="2" fontId="2" numFmtId="0" xfId="0" applyAlignment="1" applyFill="1" applyFont="1">
      <alignment readingOrder="0"/>
    </xf>
    <xf borderId="0" fillId="2" fontId="2" numFmtId="164" xfId="0" applyAlignment="1" applyFont="1" applyNumberFormat="1">
      <alignment readingOrder="0"/>
    </xf>
    <xf borderId="0" fillId="2" fontId="4" numFmtId="0" xfId="0" applyAlignment="1" applyFont="1">
      <alignment readingOrder="0" shrinkToFit="0" wrapText="0"/>
    </xf>
    <xf borderId="0" fillId="2" fontId="2" numFmtId="3" xfId="0" applyAlignment="1" applyFont="1" applyNumberFormat="1">
      <alignment readingOrder="0"/>
    </xf>
    <xf borderId="1" fillId="2" fontId="2" numFmtId="0" xfId="0" applyAlignment="1" applyBorder="1" applyFont="1">
      <alignment readingOrder="0"/>
    </xf>
    <xf borderId="1" fillId="2" fontId="2" numFmtId="4" xfId="0" applyAlignment="1" applyBorder="1" applyFont="1" applyNumberFormat="1">
      <alignment readingOrder="0"/>
    </xf>
    <xf borderId="0" fillId="2" fontId="2" numFmtId="4" xfId="0" applyAlignment="1" applyFont="1" applyNumberFormat="1">
      <alignment readingOrder="0"/>
    </xf>
    <xf borderId="2" fillId="2" fontId="2" numFmtId="4" xfId="0" applyAlignment="1" applyBorder="1" applyFont="1" applyNumberFormat="1">
      <alignment readingOrder="0"/>
    </xf>
    <xf borderId="2" fillId="2" fontId="2" numFmtId="4" xfId="0" applyAlignment="1" applyBorder="1" applyFont="1" applyNumberFormat="1">
      <alignment readingOrder="0" shrinkToFit="0" wrapText="0"/>
    </xf>
    <xf borderId="0" fillId="0" fontId="5" numFmtId="4" xfId="0" applyAlignment="1" applyFont="1" applyNumberFormat="1">
      <alignment horizontal="right" vertical="bottom"/>
    </xf>
    <xf borderId="2" fillId="0" fontId="2" numFmtId="0" xfId="0" applyAlignment="1" applyBorder="1" applyFont="1">
      <alignment readingOrder="0"/>
    </xf>
    <xf borderId="0" fillId="3" fontId="2" numFmtId="0" xfId="0" applyAlignment="1" applyFill="1" applyFont="1">
      <alignment readingOrder="0"/>
    </xf>
    <xf borderId="0" fillId="3" fontId="2" numFmtId="164" xfId="0" applyAlignment="1" applyFont="1" applyNumberFormat="1">
      <alignment readingOrder="0"/>
    </xf>
    <xf borderId="0" fillId="3" fontId="6" numFmtId="0" xfId="0" applyAlignment="1" applyFont="1">
      <alignment readingOrder="0" shrinkToFit="0" wrapText="0"/>
    </xf>
    <xf borderId="0" fillId="3" fontId="2" numFmtId="3" xfId="0" applyAlignment="1" applyFont="1" applyNumberFormat="1">
      <alignment readingOrder="0"/>
    </xf>
    <xf borderId="1" fillId="3" fontId="2" numFmtId="0" xfId="0" applyAlignment="1" applyBorder="1" applyFont="1">
      <alignment readingOrder="0"/>
    </xf>
    <xf borderId="2" fillId="3" fontId="2" numFmtId="0" xfId="0" applyAlignment="1" applyBorder="1" applyFont="1">
      <alignment readingOrder="0"/>
    </xf>
    <xf borderId="1" fillId="3" fontId="2" numFmtId="4" xfId="0" applyAlignment="1" applyBorder="1" applyFont="1" applyNumberFormat="1">
      <alignment readingOrder="0"/>
    </xf>
    <xf borderId="0" fillId="3" fontId="2" numFmtId="4" xfId="0" applyAlignment="1" applyFont="1" applyNumberFormat="1">
      <alignment readingOrder="0"/>
    </xf>
    <xf borderId="2" fillId="3" fontId="2" numFmtId="4" xfId="0" applyAlignment="1" applyBorder="1" applyFont="1" applyNumberFormat="1">
      <alignment readingOrder="0"/>
    </xf>
    <xf borderId="2" fillId="3" fontId="2" numFmtId="4" xfId="0" applyAlignment="1" applyBorder="1" applyFont="1" applyNumberFormat="1">
      <alignment readingOrder="0" shrinkToFit="0" wrapText="0"/>
    </xf>
    <xf borderId="2" fillId="0" fontId="5" numFmtId="4" xfId="0" applyAlignment="1" applyBorder="1" applyFont="1" applyNumberFormat="1">
      <alignment horizontal="right" vertical="bottom"/>
    </xf>
    <xf borderId="2" fillId="0" fontId="5" numFmtId="4" xfId="0" applyAlignment="1" applyBorder="1" applyFont="1" applyNumberFormat="1">
      <alignment horizontal="right" shrinkToFit="0" vertical="bottom" wrapText="0"/>
    </xf>
    <xf borderId="0" fillId="0" fontId="2" numFmtId="165" xfId="0" applyAlignment="1" applyFont="1" applyNumberFormat="1">
      <alignment readingOrder="0"/>
    </xf>
    <xf borderId="0" fillId="3" fontId="2" numFmtId="165" xfId="0" applyAlignment="1" applyFont="1" applyNumberFormat="1">
      <alignment readingOrder="0"/>
    </xf>
    <xf borderId="0" fillId="2" fontId="2" numFmtId="165" xfId="0" applyAlignment="1" applyFont="1" applyNumberFormat="1">
      <alignment readingOrder="0"/>
    </xf>
    <xf borderId="1" fillId="2" fontId="2" numFmtId="0" xfId="0" applyBorder="1" applyFont="1"/>
    <xf borderId="0" fillId="2" fontId="2" numFmtId="4" xfId="0" applyFont="1" applyNumberFormat="1"/>
    <xf borderId="0" fillId="0" fontId="7" numFmtId="4" xfId="0" applyAlignment="1" applyFont="1" applyNumberFormat="1">
      <alignment horizontal="right" vertical="bottom"/>
    </xf>
    <xf borderId="1" fillId="0" fontId="2" numFmtId="2" xfId="0" applyAlignment="1" applyBorder="1" applyFont="1" applyNumberFormat="1">
      <alignment readingOrder="0"/>
    </xf>
    <xf borderId="0" fillId="0" fontId="2" numFmtId="2" xfId="0" applyFont="1" applyNumberFormat="1"/>
    <xf borderId="0" fillId="0" fontId="2" numFmtId="2" xfId="0" applyAlignment="1" applyFont="1" applyNumberFormat="1">
      <alignment readingOrder="0"/>
    </xf>
    <xf borderId="2" fillId="0" fontId="2" numFmtId="2" xfId="0" applyAlignment="1" applyBorder="1" applyFont="1" applyNumberFormat="1">
      <alignment readingOrder="0"/>
    </xf>
    <xf borderId="0" fillId="0" fontId="2" numFmtId="0" xfId="0" applyFont="1"/>
    <xf borderId="2" fillId="0" fontId="2" numFmtId="0" xfId="0" applyAlignment="1" applyBorder="1" applyFont="1">
      <alignment readingOrder="0" shrinkToFit="0" wrapText="0"/>
    </xf>
    <xf borderId="1" fillId="0" fontId="2" numFmtId="2" xfId="0" applyBorder="1" applyFont="1" applyNumberFormat="1"/>
    <xf borderId="2" fillId="0" fontId="2" numFmtId="2" xfId="0" applyBorder="1" applyFont="1" applyNumberFormat="1"/>
    <xf borderId="0" fillId="0" fontId="2" numFmtId="0" xfId="0" applyFont="1"/>
    <xf borderId="0" fillId="0" fontId="2" numFmtId="0" xfId="0" applyAlignment="1" applyFont="1">
      <alignment shrinkToFit="0" wrapText="0"/>
    </xf>
    <xf borderId="1" fillId="0" fontId="2" numFmtId="0" xfId="0" applyBorder="1" applyFont="1"/>
    <xf borderId="2" fillId="0" fontId="2" numFmtId="0" xfId="0" applyAlignment="1" applyBorder="1" applyFont="1">
      <alignment shrinkToFit="0" wrapText="0"/>
    </xf>
    <xf borderId="0" fillId="3" fontId="2" numFmtId="0" xfId="0" applyAlignment="1" applyFont="1">
      <alignment readingOrder="0" shrinkToFit="0" wrapText="1"/>
    </xf>
    <xf borderId="0" fillId="3" fontId="2" numFmtId="0" xfId="0" applyFont="1"/>
    <xf borderId="0" fillId="0" fontId="2" numFmtId="3" xfId="0" applyFont="1" applyNumberFormat="1"/>
    <xf borderId="0" fillId="0" fontId="8" numFmtId="0" xfId="0" applyAlignment="1" applyFont="1">
      <alignment readingOrder="0"/>
    </xf>
    <xf borderId="0" fillId="0" fontId="2" numFmtId="166" xfId="0" applyFont="1" applyNumberFormat="1"/>
    <xf borderId="0" fillId="4" fontId="2" numFmtId="0" xfId="0" applyAlignment="1" applyFill="1" applyFont="1">
      <alignment readingOrder="0"/>
    </xf>
    <xf borderId="0" fillId="4" fontId="2" numFmtId="0" xfId="0" applyFont="1"/>
    <xf borderId="0" fillId="0" fontId="2" numFmtId="1" xfId="0" applyFont="1" applyNumberFormat="1"/>
    <xf borderId="0" fillId="0" fontId="2" numFmtId="167" xfId="0" applyFont="1" applyNumberFormat="1"/>
    <xf borderId="0" fillId="0" fontId="2" numFmtId="168" xfId="0" applyFont="1" applyNumberFormat="1"/>
    <xf borderId="0" fillId="0" fontId="2" numFmtId="169" xfId="0" applyFont="1" applyNumberFormat="1"/>
    <xf borderId="0" fillId="0" fontId="1" numFmtId="169" xfId="0" applyFont="1" applyNumberFormat="1"/>
    <xf borderId="0" fillId="0" fontId="2" numFmtId="169" xfId="0" applyAlignment="1" applyFont="1" applyNumberFormat="1">
      <alignment readingOrder="0"/>
    </xf>
    <xf borderId="0" fillId="0" fontId="2" numFmtId="10" xfId="0" applyFont="1" applyNumberFormat="1"/>
    <xf borderId="0" fillId="0" fontId="2" numFmtId="0" xfId="0" applyAlignment="1" applyFont="1">
      <alignment readingOrder="0" shrinkToFit="0" wrapText="1"/>
    </xf>
    <xf borderId="0" fillId="5" fontId="2" numFmtId="0" xfId="0" applyAlignment="1" applyFill="1" applyFont="1">
      <alignment readingOrder="0"/>
    </xf>
    <xf borderId="0" fillId="5" fontId="2" numFmtId="170" xfId="0" applyAlignment="1" applyFont="1" applyNumberFormat="1">
      <alignment readingOrder="0"/>
    </xf>
    <xf borderId="0" fillId="5" fontId="2" numFmtId="171" xfId="0" applyAlignment="1" applyFont="1" applyNumberFormat="1">
      <alignment readingOrder="0"/>
    </xf>
    <xf borderId="0" fillId="5" fontId="2" numFmtId="0" xfId="0" applyFont="1"/>
    <xf borderId="0" fillId="6" fontId="2" numFmtId="0" xfId="0" applyAlignment="1" applyFill="1" applyFont="1">
      <alignment readingOrder="0"/>
    </xf>
    <xf borderId="0" fillId="6" fontId="2" numFmtId="0" xfId="0" applyFont="1"/>
    <xf borderId="0" fillId="2" fontId="2" numFmtId="0" xfId="0" applyFont="1"/>
    <xf borderId="0" fillId="7" fontId="2" numFmtId="0" xfId="0" applyAlignment="1" applyFill="1" applyFont="1">
      <alignment readingOrder="0"/>
    </xf>
    <xf borderId="0" fillId="7" fontId="2" numFmtId="0" xfId="0" applyFont="1"/>
    <xf borderId="0" fillId="0" fontId="2" numFmtId="170" xfId="0" applyAlignment="1" applyFont="1" applyNumberFormat="1">
      <alignment readingOrder="0"/>
    </xf>
    <xf borderId="0" fillId="0" fontId="2" numFmtId="11" xfId="0" applyAlignment="1" applyFont="1" applyNumberFormat="1">
      <alignment readingOrder="0"/>
    </xf>
    <xf borderId="0" fillId="4" fontId="2" numFmtId="3" xfId="0" applyFont="1" applyNumberFormat="1"/>
    <xf borderId="0" fillId="4" fontId="2" numFmtId="4" xfId="0" applyFont="1" applyNumberFormat="1"/>
    <xf borderId="0" fillId="4" fontId="2" numFmtId="3"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Freya Chay" id="{355959a8-4968-4897-bc1c-195069596ded}"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191" dT="2026-06-11T18:02:58.00" personId="{355959a8-4968-4897-bc1c-195069596ded}" id="{5cd63a69-c5d3-43dd-8298-c39e8fe7c6e1}" done="0">
    <x18tc:text xml:space="preserve">diff flag: 1.59%</x18tc:text>
  </x18tc:threadedComment>
  <x18tc:threadedComment ref="O20" dT="2026-06-09T00:29:50.00" personId="{355959a8-4968-4897-bc1c-195069596ded}" id="{722484fb-c415-4b8a-9d88-3892a54a3a3e}" done="1">
    <x18tc:text xml:space="preserve">project listing doc just lists refrigerants; treating the odpr numbers that way basically perfectly replicates the crediting calc. however, hcfcs are in the ODS destroyed table!</x18tc:text>
  </x18tc:threadedComment>
  <x18tc:threadedComment ref="N167" dT="2026-06-11T18:00:37.00" personId="{355959a8-4968-4897-bc1c-195069596ded}" id="{1d01ef80-8ba2-446c-87b3-46bba05026f4}" done="0">
    <x18tc:text xml:space="preserve">diff flag: 1.098%</x18tc:text>
  </x18tc:threadedComment>
  <x18tc:threadedComment ref="N41" dT="2026-06-09T19:27:44.00" personId="{355959a8-4968-4897-bc1c-195069596ded}" id="{87a3e45b-f299-4c9a-902c-2038223e4203}" done="0">
    <x18tc:text xml:space="preserve">diff &gt;1% (1.345)</x18tc:text>
  </x18tc:threadedComment>
  <x18tc:threadedComment ref="N175" dT="2026-06-11T17:47:18.00" personId="{355959a8-4968-4897-bc1c-195069596ded}" id="{6466619c-4969-4b10-a739-462b5efddf41}" done="0">
    <x18tc:text xml:space="preserve">diff flag: 1.429%</x18tc:text>
  </x18tc:threadedComment>
  <x18tc:threadedComment ref="N183" dT="2026-06-11T18:02:04.00" personId="{355959a8-4968-4897-bc1c-195069596ded}" id="{04430c9c-78ba-4989-856c-544fa8bd52c0}" done="0">
    <x18tc:text xml:space="preserve">diff flag: 1.395%</x18tc:text>
  </x18tc:threadedComment>
  <x18tc:threadedComment ref="N151" dT="2026-06-11T17:58:51.00" personId="{355959a8-4968-4897-bc1c-195069596ded}" id="{c3d12033-965d-4831-9da9-ddf1958c3dd2}" done="0">
    <x18tc:text xml:space="preserve">diff flag: 8.363%
but doesn't matter since all cfc-11?</x18tc:text>
  </x18tc:threadedComment>
  <x18tc:threadedComment ref="A102" dT="2026-06-10T00:25:12.00" personId="{355959a8-4968-4897-bc1c-195069596ded}" id="{6db93425-ac90-4205-9a89-6024748112b3}" done="1">
    <x18tc:text xml:space="preserve">experiment start</x18tc:text>
  </x18tc:threadedComment>
  <x18tc:threadedComment ref="N126" dT="2026-06-10T17:15:53.00" personId="{355959a8-4968-4897-bc1c-195069596ded}" id="{b6c23e0c-3d17-4eab-ab20-c135c92ffb7f}" done="1">
    <x18tc:text xml:space="preserve">off by a factor of two. what's up with that?</x18tc:text>
  </x18tc:threadedComment>
  <x18tc:threadedComment ref="N97" dT="2026-06-10T00:02:21.00" personId="{355959a8-4968-4897-bc1c-195069596ded}" id="{500f2f18-d25a-454d-9c01-7e3cb4319e2d}" done="0">
    <x18tc:text xml:space="preserve">diff flag: 1.572%</x18tc:text>
  </x18tc:threadedComment>
  <x18tc:threadedComment ref="Q42" dT="2026-06-09T19:29:20.00" personId="{355959a8-4968-4897-bc1c-195069596ded}" id="{7de027cd-b8ef-486e-8218-3eeaf47bf642}" done="1">
    <x18tc:text xml:space="preserve">1 million destruction events; come back to this to modify template</x18tc:text>
  </x18tc:threadedComment>
  <x18tc:threadedComment ref="N92" dT="2026-06-09T23:51:11.00" personId="{355959a8-4968-4897-bc1c-195069596ded}" id="{6508f84f-16ea-4c91-a3a3-1ee12a3e031b}" done="0">
    <x18tc:text xml:space="preserve">diff flag: 1.052%</x18tc:text>
  </x18tc:threadedComment>
  <x18tc:threadedComment ref="N140" dT="2026-06-11T23:25:50.00" personId="{355959a8-4968-4897-bc1c-195069596ded}" id="{b1ceb358-600d-43a5-8fea-378f208f0f3f}" done="0">
    <x18tc:text xml:space="preserve">diff flag: 2.41%</x18tc:text>
  </x18tc:threadedComment>
  <x18tc:threadedComment ref="A123" dT="2026-06-11T18:20:51.00" personId="{355959a8-4968-4897-bc1c-195069596ded}" id="{d16486e7-c6b6-4327-a709-3ebee27917e9}" done="1">
    <x18tc:text xml:space="preserve">no ODPR! just an appendix.</x18tc:text>
  </x18tc:threadedComment>
  <x18tc:threadedComment ref="N142" dT="2026-06-11T23:26:11.00" personId="{355959a8-4968-4897-bc1c-195069596ded}" id="{a3e86e98-f1fd-4797-9f09-d7f1bf3b61d8}" done="0">
    <x18tc:text xml:space="preserve">diff flag: 2.26%</x18tc:text>
  </x18tc:threadedComment>
  <x18tc:threadedComment ref="Q45" dT="2026-06-09T19:38:20.00" personId="{355959a8-4968-4897-bc1c-195069596ded}" id="{4f434326-1ddc-40ad-8847-30e9313673b8}" done="1">
    <x18tc:text xml:space="preserve">same as ACR350</x18tc:text>
  </x18tc:threadedComment>
  <x18tc:threadedComment ref="A1" dT="2026-06-05T21:47:16.00" personId="{355959a8-4968-4897-bc1c-195069596ded}" id="{6a3e2757-0f13-4ea9-b4a5-384cdbdd3af8}" done="0">
    <x18tc:text xml:space="preserve">single destruction event; some refrigerant only ODS</x18tc:text>
  </x18tc:threadedComment>
  <x18tc:threadedComment ref="N73" dT="2026-06-09T20:23:14.00" personId="{355959a8-4968-4897-bc1c-195069596ded}" id="{7cdcbeb0-d990-4d96-b977-463daa5232a3}" done="0">
    <x18tc:text xml:space="preserve">diff flag: 1.635%</x18tc:text>
  </x18tc:threadedComment>
  <x18tc:threadedComment ref="N139" dT="2026-06-11T23:16:14.00" personId="{355959a8-4968-4897-bc1c-195069596ded}" id="{56e58ff8-49eb-4a03-abe9-a50632dff5f3}" done="0">
    <x18tc:text xml:space="preserve">diff flag: 4.651%</x18tc:text>
  </x18tc:threadedComment>
  <x18tc:threadedComment ref="N131" dT="2026-06-11T23:24:41.00" personId="{355959a8-4968-4897-bc1c-195069596ded}" id="{c2671517-f424-4848-a591-68f4cfec3852}" done="0">
    <x18tc:text xml:space="preserve">diff flag: 3.971%</x18tc:text>
  </x18tc:threadedComment>
  <x18tc:threadedComment ref="A125" dT="2026-06-10T00:25:21.00" personId="{355959a8-4968-4897-bc1c-195069596ded}" id="{41697787-2d5c-4657-9eaa-dee59e42762e}" done="1">
    <x18tc:text xml:space="preserve">experiment end</x18tc:text>
  </x18tc:threadedComment>
  <x18tc:threadedComment ref="N148" dT="2026-06-10T18:16:22.00" personId="{355959a8-4968-4897-bc1c-195069596ded}" id="{5a6e3b94-3d29-4338-bd8e-1f7e64f3f750}" done="1">
    <x18tc:text xml:space="preserve">total CHC reductions reported here and in OPDR off by 9</x18tc:text>
  </x18tc:threadedComment>
  <x18tc:threadedComment ref="N134" dT="2026-06-11T23:25:05.00" personId="{355959a8-4968-4897-bc1c-195069596ded}" id="{cf912e31-38a8-468c-a6ff-d803046630f2}" done="0">
    <x18tc:text xml:space="preserve">diff flag: 3.14</x18tc:text>
  </x18tc:threadedComment>
  <x18tc:threadedComment ref="A1" dT="2026-06-05T21:58:29.00" personId="{355959a8-4968-4897-bc1c-195069596ded}" id="{ddf363e8-efd1-4e7d-aa89-f3da1f561703}" done="0">
    <x18tc:text xml:space="preserve">second option is equation 5.9</x18tc:text>
  </x18tc:threadedComment>
  <x18tc:threadedComment ref="N61" dT="2026-06-09T20:08:08.00" personId="{355959a8-4968-4897-bc1c-195069596ded}" id="{e660b92d-7f8e-481f-bb01-b715ec6b5645}" done="0">
    <x18tc:text xml:space="preserve">diff flag at 1.756%</x18tc:text>
  </x18tc:threadedComment>
  <x18tc:threadedComment ref="N136" dT="2026-06-11T23:25:34.00" personId="{355959a8-4968-4897-bc1c-195069596ded}" id="{c21a94d6-3dd1-4abe-b178-eb435ebf6779}" done="0">
    <x18tc:text xml:space="preserve">diff flag: 2.43%</x18tc:text>
  </x18tc:threadedComment>
  <x18tc:threadedComment ref="N141" dT="2026-06-10T17:32:40.00" personId="{355959a8-4968-4897-bc1c-195069596ded}" id="{da72d247-50bd-4ed1-8f8d-43fe10e75701}" done="0">
    <x18tc:text xml:space="preserve">diff flag: 3.143%</x18tc:text>
  </x18tc:threadedComment>
  <x18tc:threadedComment ref="N213" dT="2026-06-11T18:03:22.00" personId="{355959a8-4968-4897-bc1c-195069596ded}" id="{4eceab8f-23d1-4b8d-b73a-3e3c52c0862c}" done="0">
    <x18tc:text xml:space="preserve">diff flag: 1.10%</x18tc:text>
  </x18tc:threadedComment>
  <x18tc:threadedComment ref="N64" dT="2026-06-09T20:12:21.00" personId="{355959a8-4968-4897-bc1c-195069596ded}" id="{10e9eaf3-c292-4918-9b82-62965a63dddf}" done="0">
    <x18tc:text xml:space="preserve">diff flag: 1.702%</x18tc:text>
  </x18tc:threadedComment>
  <x18tc:threadedComment ref="N128" dT="2026-06-11T23:22:56.00" personId="{355959a8-4968-4897-bc1c-195069596ded}" id="{c879a655-f70b-4c4f-8f2d-4546775ad3e8}" done="0">
    <x18tc:text xml:space="preserve">diff flag: 4.336%</x18tc:text>
  </x18tc:threadedComment>
  <x18tc:threadedComment ref="N112" dT="2026-06-10T01:55:20.00" personId="{355959a8-4968-4897-bc1c-195069596ded}" id="{ddfd0188-cf53-4ac5-aba9-2d895040d7cd}" done="0">
    <x18tc:text xml:space="preserve">diff flag: 2.830%</x18tc:text>
  </x18tc:threadedComment>
  <x18tc:threadedComment ref="N129" dT="2026-06-11T23:23:24.00" personId="{355959a8-4968-4897-bc1c-195069596ded}" id="{8394bad8-64cf-439e-9e11-e2ac21b717d5}" done="0">
    <x18tc:text xml:space="preserve">diff flag: 1.24</x18tc:text>
  </x18tc:threadedComment>
  <x18tc:threadedComment ref="N13" dT="2026-06-24T00:32:11.00" personId="{355959a8-4968-4897-bc1c-195069596ded}" id="{00f09fc1-3722-451e-8179-4255515f4b65}" done="0">
    <x18tc:text xml:space="preserve">diff flag at 6.725%</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A18" dT="2026-06-23T17:41:07.00" personId="{355959a8-4968-4897-bc1c-195069596ded}" id="{6f3f7563-6582-4541-880d-a8c9c5a46461}" done="0">
    <x18tc:text xml:space="preserve">applying default breakdown overestimates credits by 76%</x18tc:text>
  </x18tc:threadedComment>
  <x18tc:threadedComment ref="AA80" dT="2026-06-22T20:51:40.00" personId="{355959a8-4968-4897-bc1c-195069596ded}" id="{7857fded-3abd-44f9-be52-055e139651dd}" done="0">
    <x18tc:text xml:space="preserve">can't find any explanation for why verification report final numbers don't match this issuance table number; the project ID matches and the reporting period matches, and there are no additional documents (or notes in the issuance table) that seem to explain the discrepancy.</x18tc:text>
  </x18tc:threadedComment>
  <x18tc:threadedComment ref="AA80" dT="2026-06-22T20:51:55.00" personId="{355959a8-4968-4897-bc1c-195069596ded}" id="{5bfe5d0c-2764-407d-9ce3-83bb17a221ba}" parentId="{7857fded-3abd-44f9-be52-055e139651dd}">
    <x18tc:text xml:space="preserve">i think it's fair to move forward with the ratios, but note the discrepancy.</x18tc:text>
  </x18tc:threadedComment>
  <x18tc:threadedComment ref="AA20" dT="2026-06-23T17:42:48.00" personId="{355959a8-4968-4897-bc1c-195069596ded}" id="{5e981081-4cf2-4b76-9e81-1c78e53d70ad}" done="0">
    <x18tc:text xml:space="preserve">default vals overestimate credits by 97%</x18tc:text>
  </x18tc:threadedComment>
  <x18tc:threadedComment ref="AA12" dT="2026-06-22T22:54:04.00" personId="{355959a8-4968-4897-bc1c-195069596ded}" id="{48769538-d371-472a-8627-ccae3b0c8103}" done="0">
    <x18tc:text xml:space="preserve">Total credits issued here &lt;&lt; verification report</x18tc:text>
  </x18tc:threadedComment>
  <x18tc:threadedComment ref="AA16" dT="2026-06-22T23:01:19.00" personId="{355959a8-4968-4897-bc1c-195069596ded}" id="{45a95e00-9aa6-4915-9d03-62d6e57ccb90}" done="0">
    <x18tc:text xml:space="preserve">applying default breakdown overestimates credits by 21%</x18tc:text>
  </x18tc:threadedComment>
  <x18tc:threadedComment ref="M32" dT="2026-06-22T21:07:51.00" personId="{355959a8-4968-4897-bc1c-195069596ded}" id="{2ab0e9c9-7187-47db-821b-34c63ecaed24}" done="0">
    <x18tc:text xml:space="preserve">had to fix; percentages did exist</x18tc:text>
  </x18tc:threadedComment>
  <x18tc:threadedComment ref="AA31" dT="2026-06-22T22:17:58.00" personId="{355959a8-4968-4897-bc1c-195069596ded}" id="{b5af846d-7f0f-48c7-8aa4-ff0ec4fc93ee}" done="0">
    <x18tc:text xml:space="preserve">applying default mixture overcredits by 8.3%</x18tc:text>
  </x18tc:threadedComment>
  <x18tc:threadedComment ref="AA87" dT="2026-06-22T22:33:32.00" personId="{355959a8-4968-4897-bc1c-195069596ded}" id="{b52037bd-dc94-4437-b1c9-d286c33b517b}" done="0">
    <x18tc:text xml:space="preserve">Default values overcredit by 80%</x18tc:text>
  </x18tc:threadedComment>
  <x18tc:threadedComment ref="M53" dT="2026-06-22T22:25:57.00" personId="{355959a8-4968-4897-bc1c-195069596ded}" id="{ba46aec9-9338-469f-b5aa-c3413722db33}" done="0">
    <x18tc:text xml:space="preserve">Q valued reported for calculating baseline emissions</x18tc:text>
  </x18tc:threadedComment>
  <x18tc:threadedComment ref="AA5" dT="2026-06-22T22:46:30.00" personId="{355959a8-4968-4897-bc1c-195069596ded}" id="{c2eddd15-4a4f-4452-a61a-d6395dcbb10a}" done="0">
    <x18tc:text xml:space="preserve">sum of issuance table (three issuances in reporting period 1) is 10 credits off from verification report total. no explanation.</x18tc:text>
  </x18tc:threadedComment>
  <x18tc:threadedComment ref="AA56" dT="2026-06-22T22:29:50.00" personId="{355959a8-4968-4897-bc1c-195069596ded}" id="{cf5ae328-5f47-451e-8479-ff1ec8f597b7}" done="0">
    <x18tc:text xml:space="preserve">default fill overcredits by 1.44%</x18tc:text>
  </x18tc:threadedComment>
  <x18tc:threadedComment ref="AA8" dT="2026-06-22T22:51:57.00" personId="{355959a8-4968-4897-bc1c-195069596ded}" id="{e759c313-7e24-42d6-b239-d42fd62565ba}" done="0">
    <x18tc:text xml:space="preserve">Total crediting for reporting period 2 in verification report is 250,678, compared to 238,980 across these four corresponding issuances.</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B10" dT="2026-06-05T05:55:21.00" personId="{355959a8-4968-4897-bc1c-195069596ded}" id="{1a7c6d24-f197-4051-bd41-14320f5c6468}" done="0">
    <x18tc:text xml:space="preserve">metric tons, since co2e is reported in metric tons</x18tc:text>
  </x18tc:threadedComment>
</x18tc:ThreadedComments>
</file>

<file path=xl/worksheets/_rels/sheet1.xml.rels><?xml version="1.0" encoding="UTF-8" standalone="yes"?><Relationships xmlns="http://schemas.openxmlformats.org/package/2006/relationships"><Relationship Id="rId40" Type="http://schemas.openxmlformats.org/officeDocument/2006/relationships/hyperlink" Target="https://greentrace.ice.com/acr/projects/registry/ACR_REGISTRY/project/P2323C9VN322" TargetMode="External"/><Relationship Id="rId190" Type="http://schemas.openxmlformats.org/officeDocument/2006/relationships/hyperlink" Target="https://thereserve2.apx.com/mymodule/reg/prjView.asp?id1=1308" TargetMode="External"/><Relationship Id="rId42" Type="http://schemas.openxmlformats.org/officeDocument/2006/relationships/hyperlink" Target="https://greentrace.ice.com/acr/projects/registry/ACR_REGISTRY/project/P2423C9VY826" TargetMode="External"/><Relationship Id="rId41" Type="http://schemas.openxmlformats.org/officeDocument/2006/relationships/hyperlink" Target="https://greentrace.ice.com/acr/projects/registry/ACR_REGISTRY/project/P2423C9VY825" TargetMode="External"/><Relationship Id="rId44" Type="http://schemas.openxmlformats.org/officeDocument/2006/relationships/hyperlink" Target="https://greentrace.ice.com/acr/projects/registry/ACR_REGISTRY/project/P2423C9VMB22" TargetMode="External"/><Relationship Id="rId194" Type="http://schemas.openxmlformats.org/officeDocument/2006/relationships/hyperlink" Target="https://thereserve2.apx.com/mymodule/reg/prjView.asp?id1=1312" TargetMode="External"/><Relationship Id="rId43" Type="http://schemas.openxmlformats.org/officeDocument/2006/relationships/hyperlink" Target="https://greentrace.ice.com/acr/projects/registry/ACR_REGISTRY/project/P2323C9VP523" TargetMode="External"/><Relationship Id="rId193" Type="http://schemas.openxmlformats.org/officeDocument/2006/relationships/hyperlink" Target="https://thereserve2.apx.com/mymodule/reg/prjView.asp?id1=1311" TargetMode="External"/><Relationship Id="rId46" Type="http://schemas.openxmlformats.org/officeDocument/2006/relationships/hyperlink" Target="https://greentrace.ice.com/acr/projects/registry/ACR_REGISTRY/project/P2323C9VVZ22" TargetMode="External"/><Relationship Id="rId192" Type="http://schemas.openxmlformats.org/officeDocument/2006/relationships/hyperlink" Target="https://thereserve2.apx.com/mymodule/reg/prjView.asp?id1=1310" TargetMode="External"/><Relationship Id="rId45" Type="http://schemas.openxmlformats.org/officeDocument/2006/relationships/hyperlink" Target="https://greentrace.ice.com/acr/projects/registry/ACR_REGISTRY/project/P2423C9VVY23" TargetMode="External"/><Relationship Id="rId191" Type="http://schemas.openxmlformats.org/officeDocument/2006/relationships/hyperlink" Target="https://thereserve2.apx.com/mymodule/reg/prjView.asp?id1=1309" TargetMode="External"/><Relationship Id="rId48" Type="http://schemas.openxmlformats.org/officeDocument/2006/relationships/hyperlink" Target="https://greentrace.ice.com/acr/projects/registry/ACR_REGISTRY/project/P2323C9VVZ23" TargetMode="External"/><Relationship Id="rId187" Type="http://schemas.openxmlformats.org/officeDocument/2006/relationships/hyperlink" Target="https://thereserve2.apx.com/mymodule/reg/prjView.asp?id1=1302" TargetMode="External"/><Relationship Id="rId47" Type="http://schemas.openxmlformats.org/officeDocument/2006/relationships/hyperlink" Target="https://greentrace.ice.com/acr/projects/registry/ACR_REGISTRY/project/P2323C9VLZ24" TargetMode="External"/><Relationship Id="rId186" Type="http://schemas.openxmlformats.org/officeDocument/2006/relationships/hyperlink" Target="https://thereserve2.apx.com/mymodule/reg/prjView.asp?id1=1301" TargetMode="External"/><Relationship Id="rId185" Type="http://schemas.openxmlformats.org/officeDocument/2006/relationships/hyperlink" Target="https://thereserve2.apx.com/mymodule/reg/prjView.asp?id1=1300" TargetMode="External"/><Relationship Id="rId49" Type="http://schemas.openxmlformats.org/officeDocument/2006/relationships/hyperlink" Target="https://greentrace.ice.com/acr/projects/registry/ACR_REGISTRY/project/P2423C9VW223" TargetMode="External"/><Relationship Id="rId184" Type="http://schemas.openxmlformats.org/officeDocument/2006/relationships/hyperlink" Target="https://thereserve2.apx.com/mymodule/reg/prjView.asp?id1=1296" TargetMode="External"/><Relationship Id="rId189" Type="http://schemas.openxmlformats.org/officeDocument/2006/relationships/hyperlink" Target="https://thereserve2.apx.com/mymodule/reg/prjView.asp?id1=1305" TargetMode="External"/><Relationship Id="rId188" Type="http://schemas.openxmlformats.org/officeDocument/2006/relationships/hyperlink" Target="https://thereserve2.apx.com/mymodule/reg/prjView.asp?id1=1303" TargetMode="External"/><Relationship Id="rId31" Type="http://schemas.openxmlformats.org/officeDocument/2006/relationships/hyperlink" Target="https://greentrace.ice.com/acr/projects/registry/ACR_REGISTRY/project/P2323C9VPH24" TargetMode="External"/><Relationship Id="rId30" Type="http://schemas.openxmlformats.org/officeDocument/2006/relationships/hyperlink" Target="https://greentrace.ice.com/acr/projects/registry/ACR_REGISTRY/project/P2423C9VWU24" TargetMode="External"/><Relationship Id="rId33" Type="http://schemas.openxmlformats.org/officeDocument/2006/relationships/hyperlink" Target="https://greentrace.ice.com/acr/projects/registry/ACR_REGISTRY/project/P2423C9VXJ24" TargetMode="External"/><Relationship Id="rId183" Type="http://schemas.openxmlformats.org/officeDocument/2006/relationships/hyperlink" Target="https://thereserve2.apx.com/mymodule/reg/prjView.asp?id1=1295" TargetMode="External"/><Relationship Id="rId32" Type="http://schemas.openxmlformats.org/officeDocument/2006/relationships/hyperlink" Target="https://greentrace.ice.com/acr/projects/registry/ACR_REGISTRY/project/P2323C9VXH23" TargetMode="External"/><Relationship Id="rId182" Type="http://schemas.openxmlformats.org/officeDocument/2006/relationships/hyperlink" Target="https://thereserve2.apx.com/mymodule/reg/prjView.asp?id1=1290" TargetMode="External"/><Relationship Id="rId35" Type="http://schemas.openxmlformats.org/officeDocument/2006/relationships/hyperlink" Target="https://greentrace.ice.com/acr/projects/registry/ACR_REGISTRY/project/P2323C9VXJ25" TargetMode="External"/><Relationship Id="rId181" Type="http://schemas.openxmlformats.org/officeDocument/2006/relationships/hyperlink" Target="https://thereserve2.apx.com/mymodule/reg/prjView.asp?id1=1289" TargetMode="External"/><Relationship Id="rId34" Type="http://schemas.openxmlformats.org/officeDocument/2006/relationships/hyperlink" Target="https://greentrace.ice.com/acr/projects/registry/ACR_REGISTRY/project/P2323C9VN225" TargetMode="External"/><Relationship Id="rId180" Type="http://schemas.openxmlformats.org/officeDocument/2006/relationships/hyperlink" Target="https://thereserve2.apx.com/mymodule/reg/prjView.asp?id1=1287" TargetMode="External"/><Relationship Id="rId37" Type="http://schemas.openxmlformats.org/officeDocument/2006/relationships/hyperlink" Target="https://greentrace.ice.com/acr/projects/registry/ACR_REGISTRY/project/P2423C9VY923" TargetMode="External"/><Relationship Id="rId176" Type="http://schemas.openxmlformats.org/officeDocument/2006/relationships/hyperlink" Target="https://thereserve2.apx.com/mymodule/reg/prjView.asp?id1=1278" TargetMode="External"/><Relationship Id="rId297" Type="http://schemas.openxmlformats.org/officeDocument/2006/relationships/hyperlink" Target="https://thereserve2.apx.com/mymodule/reg/prjView.asp?id1=974" TargetMode="External"/><Relationship Id="rId36" Type="http://schemas.openxmlformats.org/officeDocument/2006/relationships/hyperlink" Target="https://greentrace.ice.com/acr/projects/registry/ACR_REGISTRY/project/P2423C9VN322" TargetMode="External"/><Relationship Id="rId175" Type="http://schemas.openxmlformats.org/officeDocument/2006/relationships/hyperlink" Target="https://thereserve2.apx.com/mymodule/reg/prjView.asp?id1=1277" TargetMode="External"/><Relationship Id="rId296" Type="http://schemas.openxmlformats.org/officeDocument/2006/relationships/hyperlink" Target="https://thereserve2.apx.com/mymodule/reg/prjView.asp?id1=960" TargetMode="External"/><Relationship Id="rId39" Type="http://schemas.openxmlformats.org/officeDocument/2006/relationships/hyperlink" Target="https://greentrace.ice.com/acr/projects/registry/ACR_REGISTRY/project/P2323C9VXQ24" TargetMode="External"/><Relationship Id="rId174" Type="http://schemas.openxmlformats.org/officeDocument/2006/relationships/hyperlink" Target="https://thereserve2.apx.com/mymodule/reg/prjView.asp?id1=1272" TargetMode="External"/><Relationship Id="rId295" Type="http://schemas.openxmlformats.org/officeDocument/2006/relationships/hyperlink" Target="https://thereserve2.apx.com/mymodule/reg/prjView.asp?id1=959" TargetMode="External"/><Relationship Id="rId38" Type="http://schemas.openxmlformats.org/officeDocument/2006/relationships/hyperlink" Target="https://greentrace.ice.com/acr/projects/registry/ACR_REGISTRY/project/P2323C9VXK23" TargetMode="External"/><Relationship Id="rId173" Type="http://schemas.openxmlformats.org/officeDocument/2006/relationships/hyperlink" Target="https://thereserve2.apx.com/mymodule/reg/prjView.asp?id1=1271" TargetMode="External"/><Relationship Id="rId294" Type="http://schemas.openxmlformats.org/officeDocument/2006/relationships/hyperlink" Target="https://thereserve2.apx.com/mymodule/reg/prjView.asp?id1=959" TargetMode="External"/><Relationship Id="rId179" Type="http://schemas.openxmlformats.org/officeDocument/2006/relationships/hyperlink" Target="https://thereserve2.apx.com/mymodule/reg/prjView.asp?id1=1286" TargetMode="External"/><Relationship Id="rId178" Type="http://schemas.openxmlformats.org/officeDocument/2006/relationships/hyperlink" Target="https://thereserve2.apx.com/mymodule/reg/prjView.asp?id1=1280" TargetMode="External"/><Relationship Id="rId299" Type="http://schemas.openxmlformats.org/officeDocument/2006/relationships/hyperlink" Target="https://thereserve2.apx.com/mymodule/reg/prjView.asp?id1=981" TargetMode="External"/><Relationship Id="rId177" Type="http://schemas.openxmlformats.org/officeDocument/2006/relationships/hyperlink" Target="https://thereserve2.apx.com/mymodule/reg/prjView.asp?id1=1279" TargetMode="External"/><Relationship Id="rId298" Type="http://schemas.openxmlformats.org/officeDocument/2006/relationships/hyperlink" Target="https://thereserve2.apx.com/mymodule/reg/prjView.asp?id1=974" TargetMode="External"/><Relationship Id="rId20" Type="http://schemas.openxmlformats.org/officeDocument/2006/relationships/hyperlink" Target="https://greentrace.ice.com/acr/projects/registry/ACR_REGISTRY/project/P2423C9VXK24" TargetMode="External"/><Relationship Id="rId22" Type="http://schemas.openxmlformats.org/officeDocument/2006/relationships/hyperlink" Target="https://greentrace.ice.com/acr/projects/registry/ACR_REGISTRY/project/P2423C9VKP26" TargetMode="External"/><Relationship Id="rId21" Type="http://schemas.openxmlformats.org/officeDocument/2006/relationships/hyperlink" Target="https://greentrace.ice.com/acr/projects/registry/ACR_REGISTRY/project/P2423C9VXL23" TargetMode="External"/><Relationship Id="rId24" Type="http://schemas.openxmlformats.org/officeDocument/2006/relationships/hyperlink" Target="https://greentrace.ice.com/acr/projects/registry/ACR_REGISTRY/project/P2323C9VXL25" TargetMode="External"/><Relationship Id="rId23" Type="http://schemas.openxmlformats.org/officeDocument/2006/relationships/hyperlink" Target="https://greentrace.ice.com/acr/projects/registry/ACR_REGISTRY/project/P2423C9VPH22" TargetMode="External"/><Relationship Id="rId26" Type="http://schemas.openxmlformats.org/officeDocument/2006/relationships/hyperlink" Target="https://greentrace.ice.com/acr/projects/registry/ACR_REGISTRY/project/P2423C9VXM22" TargetMode="External"/><Relationship Id="rId25" Type="http://schemas.openxmlformats.org/officeDocument/2006/relationships/hyperlink" Target="https://greentrace.ice.com/acr/projects/registry/ACR_REGISTRY/project/P2323C9VKP25" TargetMode="External"/><Relationship Id="rId28" Type="http://schemas.openxmlformats.org/officeDocument/2006/relationships/hyperlink" Target="https://greentrace.ice.com/acr/projects/registry/ACR_REGISTRY/project/P2423C9VPH23" TargetMode="External"/><Relationship Id="rId27" Type="http://schemas.openxmlformats.org/officeDocument/2006/relationships/hyperlink" Target="https://greentrace.ice.com/acr/projects/registry/ACR_REGISTRY/project/P2323C9VY923" TargetMode="External"/><Relationship Id="rId29" Type="http://schemas.openxmlformats.org/officeDocument/2006/relationships/hyperlink" Target="https://greentrace.ice.com/acr/projects/registry/ACR_REGISTRY/project/P2323C9VPJ25" TargetMode="External"/><Relationship Id="rId11" Type="http://schemas.openxmlformats.org/officeDocument/2006/relationships/hyperlink" Target="https://greentrace.ice.com/acr/projects/registry/ACR_REGISTRY/project/P2323C9VVL22" TargetMode="External"/><Relationship Id="rId10" Type="http://schemas.openxmlformats.org/officeDocument/2006/relationships/hyperlink" Target="https://greentrace.ice.com/acr/projects/registry/ACR_REGISTRY/project/P2423C9VPU24" TargetMode="External"/><Relationship Id="rId13" Type="http://schemas.openxmlformats.org/officeDocument/2006/relationships/hyperlink" Target="https://greentrace.ice.com/acr/projects/registry/ACR_REGISTRY/project/P2423C9VW523" TargetMode="External"/><Relationship Id="rId12" Type="http://schemas.openxmlformats.org/officeDocument/2006/relationships/hyperlink" Target="https://greentrace.ice.com/acr/projects/registry/ACR_REGISTRY/project/P2423C9VQE25" TargetMode="External"/><Relationship Id="rId15" Type="http://schemas.openxmlformats.org/officeDocument/2006/relationships/hyperlink" Target="https://greentrace.ice.com/acr/projects/registry/ACR_REGISTRY/project/P2423C9VRV23" TargetMode="External"/><Relationship Id="rId198" Type="http://schemas.openxmlformats.org/officeDocument/2006/relationships/hyperlink" Target="https://thereserve2.apx.com/mymodule/reg/prjView.asp?id1=1341" TargetMode="External"/><Relationship Id="rId14" Type="http://schemas.openxmlformats.org/officeDocument/2006/relationships/hyperlink" Target="https://greentrace.ice.com/acr/projects/registry/ACR_REGISTRY/project/P2323C9VW522" TargetMode="External"/><Relationship Id="rId197" Type="http://schemas.openxmlformats.org/officeDocument/2006/relationships/hyperlink" Target="https://thereserve2.apx.com/mymodule/reg/prjView.asp?id1=1327" TargetMode="External"/><Relationship Id="rId17" Type="http://schemas.openxmlformats.org/officeDocument/2006/relationships/hyperlink" Target="https://greentrace.ice.com/acr/projects/registry/ACR_REGISTRY/project/P2423C9VRW23" TargetMode="External"/><Relationship Id="rId196" Type="http://schemas.openxmlformats.org/officeDocument/2006/relationships/hyperlink" Target="https://thereserve2.apx.com/mymodule/reg/prjView.asp?id1=1326" TargetMode="External"/><Relationship Id="rId16" Type="http://schemas.openxmlformats.org/officeDocument/2006/relationships/hyperlink" Target="https://greentrace.ice.com/acr/projects/registry/ACR_REGISTRY/project/P2323C9VWX22" TargetMode="External"/><Relationship Id="rId195" Type="http://schemas.openxmlformats.org/officeDocument/2006/relationships/hyperlink" Target="https://thereserve2.apx.com/mymodule/reg/prjView.asp?id1=1318" TargetMode="External"/><Relationship Id="rId19" Type="http://schemas.openxmlformats.org/officeDocument/2006/relationships/hyperlink" Target="https://greentrace.ice.com/acr/projects/registry/ACR_REGISTRY/project/P2423C9VWY23" TargetMode="External"/><Relationship Id="rId18" Type="http://schemas.openxmlformats.org/officeDocument/2006/relationships/hyperlink" Target="https://greentrace.ice.com/acr/projects/registry/ACR_REGISTRY/project/P2423C9VKF26" TargetMode="External"/><Relationship Id="rId199" Type="http://schemas.openxmlformats.org/officeDocument/2006/relationships/hyperlink" Target="https://thereserve2.apx.com/mymodule/reg/prjView.asp?id1=1367" TargetMode="External"/><Relationship Id="rId84" Type="http://schemas.openxmlformats.org/officeDocument/2006/relationships/hyperlink" Target="https://greentrace.ice.com/acr/projects/registry/ACR_REGISTRY/project/P2323C9VTQ22" TargetMode="External"/><Relationship Id="rId83" Type="http://schemas.openxmlformats.org/officeDocument/2006/relationships/hyperlink" Target="https://greentrace.ice.com/acr/projects/registry/ACR_REGISTRY/project/P2323C9VMK23" TargetMode="External"/><Relationship Id="rId86" Type="http://schemas.openxmlformats.org/officeDocument/2006/relationships/hyperlink" Target="https://greentrace.ice.com/acr/projects/registry/ACR_REGISTRY/project/P2323C9VNF24" TargetMode="External"/><Relationship Id="rId85" Type="http://schemas.openxmlformats.org/officeDocument/2006/relationships/hyperlink" Target="https://greentrace.ice.com/acr/projects/registry/ACR_REGISTRY/project/P2323C9VTW22" TargetMode="External"/><Relationship Id="rId88" Type="http://schemas.openxmlformats.org/officeDocument/2006/relationships/hyperlink" Target="https://greentrace.ice.com/acr/projects/registry/ACR_REGISTRY/project/P2423C9VTH25" TargetMode="External"/><Relationship Id="rId150" Type="http://schemas.openxmlformats.org/officeDocument/2006/relationships/hyperlink" Target="https://thereserve2.apx.com/mymodule/reg/prjView.asp?id1=1182" TargetMode="External"/><Relationship Id="rId271" Type="http://schemas.openxmlformats.org/officeDocument/2006/relationships/hyperlink" Target="https://thereserve2.apx.com/mymodule/reg/prjView.asp?id1=905" TargetMode="External"/><Relationship Id="rId87" Type="http://schemas.openxmlformats.org/officeDocument/2006/relationships/hyperlink" Target="https://greentrace.ice.com/acr/projects/registry/ACR_REGISTRY/project/P2423C9VTW23" TargetMode="External"/><Relationship Id="rId270" Type="http://schemas.openxmlformats.org/officeDocument/2006/relationships/hyperlink" Target="https://thereserve2.apx.com/mymodule/reg/prjView.asp?id1=905" TargetMode="External"/><Relationship Id="rId89" Type="http://schemas.openxmlformats.org/officeDocument/2006/relationships/hyperlink" Target="https://greentrace.ice.com/acr/projects/registry/ACR_REGISTRY/project/P2423C9VNG24" TargetMode="External"/><Relationship Id="rId80" Type="http://schemas.openxmlformats.org/officeDocument/2006/relationships/hyperlink" Target="https://greentrace.ice.com/acr/projects/registry/ACR_REGISTRY/project/P2423C9VNF23" TargetMode="External"/><Relationship Id="rId82" Type="http://schemas.openxmlformats.org/officeDocument/2006/relationships/hyperlink" Target="https://greentrace.ice.com/acr/projects/registry/ACR_REGISTRY/project/P2423C9VMJ23" TargetMode="External"/><Relationship Id="rId81" Type="http://schemas.openxmlformats.org/officeDocument/2006/relationships/hyperlink" Target="https://greentrace.ice.com/acr/projects/registry/ACR_REGISTRY/project/P2323C9VM322" TargetMode="External"/><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149" Type="http://schemas.openxmlformats.org/officeDocument/2006/relationships/hyperlink" Target="https://thereserve2.apx.com/mymodule/reg/prjView.asp?id1=1179" TargetMode="External"/><Relationship Id="rId4" Type="http://schemas.openxmlformats.org/officeDocument/2006/relationships/hyperlink" Target="https://greentrace.ice.com/acr/projects/registry/ACR_REGISTRY/project/P2323C9VS725" TargetMode="External"/><Relationship Id="rId148" Type="http://schemas.openxmlformats.org/officeDocument/2006/relationships/hyperlink" Target="https://thereserve2.apx.com/mymodule/reg/prjView.asp?id1=1172" TargetMode="External"/><Relationship Id="rId269" Type="http://schemas.openxmlformats.org/officeDocument/2006/relationships/hyperlink" Target="https://thereserve2.apx.com/mymodule/reg/prjView.asp?id1=901" TargetMode="External"/><Relationship Id="rId9" Type="http://schemas.openxmlformats.org/officeDocument/2006/relationships/hyperlink" Target="https://greentrace.ice.com/acr/projects/registry/ACR_REGISTRY/project/P2323C9VS624" TargetMode="External"/><Relationship Id="rId143" Type="http://schemas.openxmlformats.org/officeDocument/2006/relationships/hyperlink" Target="https://thereserve2.apx.com/mymodule/reg/prjView.asp?id1=1074" TargetMode="External"/><Relationship Id="rId264" Type="http://schemas.openxmlformats.org/officeDocument/2006/relationships/hyperlink" Target="https://thereserve2.apx.com/mymodule/reg/prjView.asp?id1=883" TargetMode="External"/><Relationship Id="rId142" Type="http://schemas.openxmlformats.org/officeDocument/2006/relationships/hyperlink" Target="https://thereserve2.apx.com/mymodule/reg/prjView.asp?id1=1072" TargetMode="External"/><Relationship Id="rId263" Type="http://schemas.openxmlformats.org/officeDocument/2006/relationships/hyperlink" Target="https://thereserve2.apx.com/mymodule/reg/prjView.asp?id1=883" TargetMode="External"/><Relationship Id="rId141" Type="http://schemas.openxmlformats.org/officeDocument/2006/relationships/hyperlink" Target="https://thereserve2.apx.com/mymodule/reg/prjView.asp?id1=1071" TargetMode="External"/><Relationship Id="rId262" Type="http://schemas.openxmlformats.org/officeDocument/2006/relationships/hyperlink" Target="https://thereserve2.apx.com/mymodule/reg/prjView.asp?id1=833" TargetMode="External"/><Relationship Id="rId140" Type="http://schemas.openxmlformats.org/officeDocument/2006/relationships/hyperlink" Target="https://thereserve2.apx.com/mymodule/reg/prjView.asp?id1=1069" TargetMode="External"/><Relationship Id="rId261" Type="http://schemas.openxmlformats.org/officeDocument/2006/relationships/hyperlink" Target="https://thereserve2.apx.com/mymodule/reg/prjView.asp?id1=833" TargetMode="External"/><Relationship Id="rId5" Type="http://schemas.openxmlformats.org/officeDocument/2006/relationships/hyperlink" Target="https://greentrace.ice.com/acr/projects/registry/ACR_REGISTRY/project/P2323C9VPD25" TargetMode="External"/><Relationship Id="rId147" Type="http://schemas.openxmlformats.org/officeDocument/2006/relationships/hyperlink" Target="https://thereserve2.apx.com/mymodule/reg/prjView.asp?id1=1171" TargetMode="External"/><Relationship Id="rId268" Type="http://schemas.openxmlformats.org/officeDocument/2006/relationships/hyperlink" Target="https://thereserve2.apx.com/mymodule/reg/prjView.asp?id1=901" TargetMode="External"/><Relationship Id="rId6" Type="http://schemas.openxmlformats.org/officeDocument/2006/relationships/hyperlink" Target="https://greentrace.ice.com/acr/projects/registry/ACR_REGISTRY/project/P2423C9VYN24" TargetMode="External"/><Relationship Id="rId146" Type="http://schemas.openxmlformats.org/officeDocument/2006/relationships/hyperlink" Target="https://thereserve2.apx.com/mymodule/reg/prjView.asp?id1=1093" TargetMode="External"/><Relationship Id="rId267" Type="http://schemas.openxmlformats.org/officeDocument/2006/relationships/hyperlink" Target="https://thereserve2.apx.com/mymodule/reg/prjView.asp?id1=901" TargetMode="External"/><Relationship Id="rId7" Type="http://schemas.openxmlformats.org/officeDocument/2006/relationships/hyperlink" Target="https://greentrace.ice.com/acr/projects/registry/ACR_REGISTRY/project/P2323C9VR625" TargetMode="External"/><Relationship Id="rId145" Type="http://schemas.openxmlformats.org/officeDocument/2006/relationships/hyperlink" Target="https://thereserve2.apx.com/mymodule/reg/prjView.asp?id1=1089" TargetMode="External"/><Relationship Id="rId266" Type="http://schemas.openxmlformats.org/officeDocument/2006/relationships/hyperlink" Target="https://thereserve2.apx.com/mymodule/reg/prjView.asp?id1=901" TargetMode="External"/><Relationship Id="rId8" Type="http://schemas.openxmlformats.org/officeDocument/2006/relationships/hyperlink" Target="https://greentrace.ice.com/acr/projects/registry/ACR_REGISTRY/project/P2423C9VQ425" TargetMode="External"/><Relationship Id="rId144" Type="http://schemas.openxmlformats.org/officeDocument/2006/relationships/hyperlink" Target="https://thereserve2.apx.com/mymodule/reg/prjView.asp?id1=1087" TargetMode="External"/><Relationship Id="rId265" Type="http://schemas.openxmlformats.org/officeDocument/2006/relationships/hyperlink" Target="https://thereserve2.apx.com/mymodule/reg/prjView.asp?id1=883" TargetMode="External"/><Relationship Id="rId73" Type="http://schemas.openxmlformats.org/officeDocument/2006/relationships/hyperlink" Target="https://greentrace.ice.com/acr/projects/registry/ACR_REGISTRY/project/P2323C9VMJ24" TargetMode="External"/><Relationship Id="rId72" Type="http://schemas.openxmlformats.org/officeDocument/2006/relationships/hyperlink" Target="https://greentrace.ice.com/acr/projects/registry/ACR_REGISTRY/project/P2423C9VMH25" TargetMode="External"/><Relationship Id="rId75" Type="http://schemas.openxmlformats.org/officeDocument/2006/relationships/hyperlink" Target="https://greentrace.ice.com/acr/projects/registry/ACR_REGISTRY/project/P2423C9VM223" TargetMode="External"/><Relationship Id="rId74" Type="http://schemas.openxmlformats.org/officeDocument/2006/relationships/hyperlink" Target="https://greentrace.ice.com/acr/projects/registry/ACR_REGISTRY/project/P2423C9VX623" TargetMode="External"/><Relationship Id="rId77" Type="http://schemas.openxmlformats.org/officeDocument/2006/relationships/hyperlink" Target="https://greentrace.ice.com/acr/projects/registry/ACR_REGISTRY/project/P2323C9VUJ25" TargetMode="External"/><Relationship Id="rId260" Type="http://schemas.openxmlformats.org/officeDocument/2006/relationships/hyperlink" Target="https://thereserve2.apx.com/mymodule/reg/prjView.asp?id1=833" TargetMode="External"/><Relationship Id="rId76" Type="http://schemas.openxmlformats.org/officeDocument/2006/relationships/hyperlink" Target="https://greentrace.ice.com/acr/projects/registry/ACR_REGISTRY/project/P2323C9VM225" TargetMode="External"/><Relationship Id="rId79" Type="http://schemas.openxmlformats.org/officeDocument/2006/relationships/hyperlink" Target="https://greentrace.ice.com/acr/projects/registry/ACR_REGISTRY/project/P2323C9VTZ25" TargetMode="External"/><Relationship Id="rId78" Type="http://schemas.openxmlformats.org/officeDocument/2006/relationships/hyperlink" Target="https://greentrace.ice.com/acr/projects/registry/ACR_REGISTRY/project/P2323C9VUK23" TargetMode="External"/><Relationship Id="rId71" Type="http://schemas.openxmlformats.org/officeDocument/2006/relationships/hyperlink" Target="https://greentrace.ice.com/acr/projects/registry/ACR_REGISTRY/project/P2323C9VVH26" TargetMode="External"/><Relationship Id="rId70" Type="http://schemas.openxmlformats.org/officeDocument/2006/relationships/hyperlink" Target="https://greentrace.ice.com/acr/projects/registry/ACR_REGISTRY/project/P2423C9VU725" TargetMode="External"/><Relationship Id="rId139" Type="http://schemas.openxmlformats.org/officeDocument/2006/relationships/hyperlink" Target="https://thereserve2.apx.com/mymodule/reg/prjView.asp?id1=1068" TargetMode="External"/><Relationship Id="rId138" Type="http://schemas.openxmlformats.org/officeDocument/2006/relationships/hyperlink" Target="https://thereserve2.apx.com/mymodule/reg/prjView.asp?id1=1059" TargetMode="External"/><Relationship Id="rId259" Type="http://schemas.openxmlformats.org/officeDocument/2006/relationships/hyperlink" Target="https://thereserve2.apx.com/mymodule/reg/prjView.asp?id1=833" TargetMode="External"/><Relationship Id="rId137" Type="http://schemas.openxmlformats.org/officeDocument/2006/relationships/hyperlink" Target="https://thereserve2.apx.com/mymodule/reg/prjView.asp?id1=1051" TargetMode="External"/><Relationship Id="rId258" Type="http://schemas.openxmlformats.org/officeDocument/2006/relationships/hyperlink" Target="https://thereserve2.apx.com/mymodule/reg/prjView.asp?id1=832" TargetMode="External"/><Relationship Id="rId132" Type="http://schemas.openxmlformats.org/officeDocument/2006/relationships/hyperlink" Target="https://thereserve2.apx.com/mymodule/reg/prjView.asp?id1=1021" TargetMode="External"/><Relationship Id="rId253" Type="http://schemas.openxmlformats.org/officeDocument/2006/relationships/hyperlink" Target="https://thereserve2.apx.com/mymodule/reg/prjView.asp?id1=804" TargetMode="External"/><Relationship Id="rId131" Type="http://schemas.openxmlformats.org/officeDocument/2006/relationships/hyperlink" Target="https://thereserve2.apx.com/mymodule/reg/prjView.asp?id1=1016" TargetMode="External"/><Relationship Id="rId252" Type="http://schemas.openxmlformats.org/officeDocument/2006/relationships/hyperlink" Target="https://thereserve2.apx.com/mymodule/reg/prjView.asp?id1=804" TargetMode="External"/><Relationship Id="rId130" Type="http://schemas.openxmlformats.org/officeDocument/2006/relationships/hyperlink" Target="https://thereserve2.apx.com/mymodule/reg/prjView.asp?id1=1012" TargetMode="External"/><Relationship Id="rId251" Type="http://schemas.openxmlformats.org/officeDocument/2006/relationships/hyperlink" Target="https://thereserve2.apx.com/mymodule/reg/prjView.asp?id1=804" TargetMode="External"/><Relationship Id="rId250" Type="http://schemas.openxmlformats.org/officeDocument/2006/relationships/hyperlink" Target="https://thereserve2.apx.com/mymodule/reg/prjView.asp?id1=804" TargetMode="External"/><Relationship Id="rId136" Type="http://schemas.openxmlformats.org/officeDocument/2006/relationships/hyperlink" Target="https://thereserve2.apx.com/mymodule/reg/prjView.asp?id1=1047" TargetMode="External"/><Relationship Id="rId257" Type="http://schemas.openxmlformats.org/officeDocument/2006/relationships/hyperlink" Target="https://thereserve2.apx.com/mymodule/reg/prjView.asp?id1=818" TargetMode="External"/><Relationship Id="rId135" Type="http://schemas.openxmlformats.org/officeDocument/2006/relationships/hyperlink" Target="https://thereserve2.apx.com/mymodule/reg/prjView.asp?id1=1029" TargetMode="External"/><Relationship Id="rId256" Type="http://schemas.openxmlformats.org/officeDocument/2006/relationships/hyperlink" Target="https://thereserve2.apx.com/mymodule/reg/prjView.asp?id1=818" TargetMode="External"/><Relationship Id="rId134" Type="http://schemas.openxmlformats.org/officeDocument/2006/relationships/hyperlink" Target="https://thereserve2.apx.com/mymodule/reg/prjView.asp?id1=1026" TargetMode="External"/><Relationship Id="rId255" Type="http://schemas.openxmlformats.org/officeDocument/2006/relationships/hyperlink" Target="https://thereserve2.apx.com/mymodule/reg/prjView.asp?id1=818" TargetMode="External"/><Relationship Id="rId133" Type="http://schemas.openxmlformats.org/officeDocument/2006/relationships/hyperlink" Target="https://thereserve2.apx.com/mymodule/reg/prjView.asp?id1=1025" TargetMode="External"/><Relationship Id="rId254" Type="http://schemas.openxmlformats.org/officeDocument/2006/relationships/hyperlink" Target="https://thereserve2.apx.com/mymodule/reg/prjView.asp?id1=805" TargetMode="External"/><Relationship Id="rId62" Type="http://schemas.openxmlformats.org/officeDocument/2006/relationships/hyperlink" Target="https://greentrace.ice.com/acr/projects/registry/ACR_REGISTRY/project/P2323C9VMF22" TargetMode="External"/><Relationship Id="rId61" Type="http://schemas.openxmlformats.org/officeDocument/2006/relationships/hyperlink" Target="https://greentrace.ice.com/acr/projects/registry/ACR_REGISTRY/project/P2423C9VMF24" TargetMode="External"/><Relationship Id="rId64" Type="http://schemas.openxmlformats.org/officeDocument/2006/relationships/hyperlink" Target="https://greentrace.ice.com/acr/projects/registry/ACR_REGISTRY/project/P2423C9VU724" TargetMode="External"/><Relationship Id="rId63" Type="http://schemas.openxmlformats.org/officeDocument/2006/relationships/hyperlink" Target="https://greentrace.ice.com/acr/projects/registry/ACR_REGISTRY/project/P2423C9VMF25" TargetMode="External"/><Relationship Id="rId66" Type="http://schemas.openxmlformats.org/officeDocument/2006/relationships/hyperlink" Target="https://greentrace.ice.com/acr/projects/registry/ACR_REGISTRY/project/P2423C9VMG22" TargetMode="External"/><Relationship Id="rId172" Type="http://schemas.openxmlformats.org/officeDocument/2006/relationships/hyperlink" Target="https://thereserve2.apx.com/mymodule/reg/prjView.asp?id1=1270" TargetMode="External"/><Relationship Id="rId293" Type="http://schemas.openxmlformats.org/officeDocument/2006/relationships/hyperlink" Target="https://thereserve2.apx.com/mymodule/reg/prjView.asp?id1=954" TargetMode="External"/><Relationship Id="rId65" Type="http://schemas.openxmlformats.org/officeDocument/2006/relationships/hyperlink" Target="https://greentrace.ice.com/acr/projects/registry/ACR_REGISTRY/project/P2323C9VMG25" TargetMode="External"/><Relationship Id="rId171" Type="http://schemas.openxmlformats.org/officeDocument/2006/relationships/hyperlink" Target="https://thereserve2.apx.com/mymodule/reg/prjView.asp?id1=1269" TargetMode="External"/><Relationship Id="rId292" Type="http://schemas.openxmlformats.org/officeDocument/2006/relationships/hyperlink" Target="https://thereserve2.apx.com/mymodule/reg/prjView.asp?id1=952" TargetMode="External"/><Relationship Id="rId68" Type="http://schemas.openxmlformats.org/officeDocument/2006/relationships/hyperlink" Target="https://greentrace.ice.com/acr/projects/registry/ACR_REGISTRY/project/P2423C9VSZ24" TargetMode="External"/><Relationship Id="rId170" Type="http://schemas.openxmlformats.org/officeDocument/2006/relationships/hyperlink" Target="https://thereserve2.apx.com/mymodule/reg/prjView.asp?id1=1268" TargetMode="External"/><Relationship Id="rId291" Type="http://schemas.openxmlformats.org/officeDocument/2006/relationships/hyperlink" Target="https://thereserve2.apx.com/mymodule/reg/prjView.asp?id1=952" TargetMode="External"/><Relationship Id="rId67" Type="http://schemas.openxmlformats.org/officeDocument/2006/relationships/hyperlink" Target="https://greentrace.ice.com/acr/projects/registry/ACR_REGISTRY/project/P2323C9VMH24" TargetMode="External"/><Relationship Id="rId290" Type="http://schemas.openxmlformats.org/officeDocument/2006/relationships/hyperlink" Target="https://thereserve2.apx.com/mymodule/reg/prjView.asp?id1=948" TargetMode="External"/><Relationship Id="rId60" Type="http://schemas.openxmlformats.org/officeDocument/2006/relationships/hyperlink" Target="https://greentrace.ice.com/acr/projects/registry/ACR_REGISTRY/project/P2323C9VME24" TargetMode="External"/><Relationship Id="rId165" Type="http://schemas.openxmlformats.org/officeDocument/2006/relationships/hyperlink" Target="https://thereserve2.apx.com/mymodule/reg/prjView.asp?id1=1252" TargetMode="External"/><Relationship Id="rId286" Type="http://schemas.openxmlformats.org/officeDocument/2006/relationships/hyperlink" Target="https://thereserve2.apx.com/mymodule/reg/prjView.asp?id1=946" TargetMode="External"/><Relationship Id="rId69" Type="http://schemas.openxmlformats.org/officeDocument/2006/relationships/hyperlink" Target="https://greentrace.ice.com/acr/projects/registry/ACR_REGISTRY/project/P2423C9VTT22" TargetMode="External"/><Relationship Id="rId164" Type="http://schemas.openxmlformats.org/officeDocument/2006/relationships/hyperlink" Target="https://thereserve2.apx.com/mymodule/reg/prjView.asp?id1=1251" TargetMode="External"/><Relationship Id="rId285" Type="http://schemas.openxmlformats.org/officeDocument/2006/relationships/hyperlink" Target="https://thereserve2.apx.com/mymodule/reg/prjView.asp?id1=946" TargetMode="External"/><Relationship Id="rId163" Type="http://schemas.openxmlformats.org/officeDocument/2006/relationships/hyperlink" Target="https://thereserve2.apx.com/mymodule/reg/prjView.asp?id1=1250" TargetMode="External"/><Relationship Id="rId284" Type="http://schemas.openxmlformats.org/officeDocument/2006/relationships/hyperlink" Target="https://thereserve2.apx.com/mymodule/reg/prjView.asp?id1=946" TargetMode="External"/><Relationship Id="rId162" Type="http://schemas.openxmlformats.org/officeDocument/2006/relationships/hyperlink" Target="https://thereserve2.apx.com/mymodule/reg/prjView.asp?id1=1249" TargetMode="External"/><Relationship Id="rId283" Type="http://schemas.openxmlformats.org/officeDocument/2006/relationships/hyperlink" Target="https://thereserve2.apx.com/mymodule/reg/prjView.asp?id1=946" TargetMode="External"/><Relationship Id="rId169" Type="http://schemas.openxmlformats.org/officeDocument/2006/relationships/hyperlink" Target="https://thereserve2.apx.com/mymodule/reg/prjView.asp?id1=1267" TargetMode="External"/><Relationship Id="rId168" Type="http://schemas.openxmlformats.org/officeDocument/2006/relationships/hyperlink" Target="https://thereserve2.apx.com/mymodule/reg/prjView.asp?id1=1263" TargetMode="External"/><Relationship Id="rId289" Type="http://schemas.openxmlformats.org/officeDocument/2006/relationships/hyperlink" Target="https://thereserve2.apx.com/mymodule/reg/prjView.asp?id1=947" TargetMode="External"/><Relationship Id="rId167" Type="http://schemas.openxmlformats.org/officeDocument/2006/relationships/hyperlink" Target="https://thereserve2.apx.com/mymodule/reg/prjView.asp?id1=1258" TargetMode="External"/><Relationship Id="rId288" Type="http://schemas.openxmlformats.org/officeDocument/2006/relationships/hyperlink" Target="https://thereserve2.apx.com/mymodule/reg/prjView.asp?id1=947" TargetMode="External"/><Relationship Id="rId166" Type="http://schemas.openxmlformats.org/officeDocument/2006/relationships/hyperlink" Target="https://thereserve2.apx.com/mymodule/reg/prjView.asp?id1=1254" TargetMode="External"/><Relationship Id="rId287" Type="http://schemas.openxmlformats.org/officeDocument/2006/relationships/hyperlink" Target="https://thereserve2.apx.com/mymodule/reg/prjView.asp?id1=947" TargetMode="External"/><Relationship Id="rId51" Type="http://schemas.openxmlformats.org/officeDocument/2006/relationships/hyperlink" Target="https://greentrace.ice.com/acr/projects/registry/ACR_REGISTRY/project/P2423C9VMC25" TargetMode="External"/><Relationship Id="rId50" Type="http://schemas.openxmlformats.org/officeDocument/2006/relationships/hyperlink" Target="https://greentrace.ice.com/acr/projects/registry/ACR_REGISTRY/project/P2423C9VW224" TargetMode="External"/><Relationship Id="rId53" Type="http://schemas.openxmlformats.org/officeDocument/2006/relationships/hyperlink" Target="https://greentrace.ice.com/acr/projects/registry/ACR_REGISTRY/project/P2423C9VLF24" TargetMode="External"/><Relationship Id="rId52" Type="http://schemas.openxmlformats.org/officeDocument/2006/relationships/hyperlink" Target="https://greentrace.ice.com/acr/projects/registry/ACR_REGISTRY/project/P2323C9VMC22" TargetMode="External"/><Relationship Id="rId55" Type="http://schemas.openxmlformats.org/officeDocument/2006/relationships/hyperlink" Target="https://greentrace.ice.com/acr/projects/registry/ACR_REGISTRY/project/P2323C9VNE25" TargetMode="External"/><Relationship Id="rId161" Type="http://schemas.openxmlformats.org/officeDocument/2006/relationships/hyperlink" Target="https://thereserve2.apx.com/mymodule/reg/prjView.asp?id1=1248" TargetMode="External"/><Relationship Id="rId282" Type="http://schemas.openxmlformats.org/officeDocument/2006/relationships/hyperlink" Target="https://thereserve2.apx.com/mymodule/reg/prjView.asp?id1=946" TargetMode="External"/><Relationship Id="rId54" Type="http://schemas.openxmlformats.org/officeDocument/2006/relationships/hyperlink" Target="https://greentrace.ice.com/acr/projects/registry/ACR_REGISTRY/project/P2323C9VMC23" TargetMode="External"/><Relationship Id="rId160" Type="http://schemas.openxmlformats.org/officeDocument/2006/relationships/hyperlink" Target="https://thereserve2.apx.com/mymodule/reg/prjView.asp?id1=1244" TargetMode="External"/><Relationship Id="rId281" Type="http://schemas.openxmlformats.org/officeDocument/2006/relationships/hyperlink" Target="https://thereserve2.apx.com/mymodule/reg/prjView.asp?id1=946" TargetMode="External"/><Relationship Id="rId57" Type="http://schemas.openxmlformats.org/officeDocument/2006/relationships/hyperlink" Target="https://greentrace.ice.com/acr/projects/registry/ACR_REGISTRY/project/P2423C9VMD24" TargetMode="External"/><Relationship Id="rId280" Type="http://schemas.openxmlformats.org/officeDocument/2006/relationships/hyperlink" Target="https://thereserve2.apx.com/mymodule/reg/prjView.asp?id1=946" TargetMode="External"/><Relationship Id="rId56" Type="http://schemas.openxmlformats.org/officeDocument/2006/relationships/hyperlink" Target="https://greentrace.ice.com/acr/projects/registry/ACR_REGISTRY/project/P2323C9VMD25" TargetMode="External"/><Relationship Id="rId159" Type="http://schemas.openxmlformats.org/officeDocument/2006/relationships/hyperlink" Target="https://thereserve2.apx.com/mymodule/reg/prjView.asp?id1=1243" TargetMode="External"/><Relationship Id="rId59" Type="http://schemas.openxmlformats.org/officeDocument/2006/relationships/hyperlink" Target="https://greentrace.ice.com/acr/projects/registry/ACR_REGISTRY/project/P2423C9VME25" TargetMode="External"/><Relationship Id="rId154" Type="http://schemas.openxmlformats.org/officeDocument/2006/relationships/hyperlink" Target="https://thereserve2.apx.com/mymodule/reg/prjView.asp?id1=1235" TargetMode="External"/><Relationship Id="rId275" Type="http://schemas.openxmlformats.org/officeDocument/2006/relationships/hyperlink" Target="https://thereserve2.apx.com/mymodule/reg/prjView.asp?id1=946" TargetMode="External"/><Relationship Id="rId58" Type="http://schemas.openxmlformats.org/officeDocument/2006/relationships/hyperlink" Target="https://greentrace.ice.com/acr/projects/registry/ACR_REGISTRY/project/P2423C9VNB22" TargetMode="External"/><Relationship Id="rId153" Type="http://schemas.openxmlformats.org/officeDocument/2006/relationships/hyperlink" Target="https://thereserve2.apx.com/mymodule/reg/prjView.asp?id1=1234" TargetMode="External"/><Relationship Id="rId274" Type="http://schemas.openxmlformats.org/officeDocument/2006/relationships/hyperlink" Target="https://thereserve2.apx.com/mymodule/reg/prjView.asp?id1=946" TargetMode="External"/><Relationship Id="rId152" Type="http://schemas.openxmlformats.org/officeDocument/2006/relationships/hyperlink" Target="https://thereserve2.apx.com/mymodule/reg/prjView.asp?id1=1222" TargetMode="External"/><Relationship Id="rId273" Type="http://schemas.openxmlformats.org/officeDocument/2006/relationships/hyperlink" Target="https://thereserve2.apx.com/mymodule/reg/prjView.asp?id1=945" TargetMode="External"/><Relationship Id="rId151" Type="http://schemas.openxmlformats.org/officeDocument/2006/relationships/hyperlink" Target="https://thereserve2.apx.com/mymodule/reg/prjView.asp?id1=1219" TargetMode="External"/><Relationship Id="rId272" Type="http://schemas.openxmlformats.org/officeDocument/2006/relationships/hyperlink" Target="https://thereserve2.apx.com/mymodule/reg/prjView.asp?id1=906" TargetMode="External"/><Relationship Id="rId158" Type="http://schemas.openxmlformats.org/officeDocument/2006/relationships/hyperlink" Target="https://thereserve2.apx.com/mymodule/reg/prjView.asp?id1=1242" TargetMode="External"/><Relationship Id="rId279" Type="http://schemas.openxmlformats.org/officeDocument/2006/relationships/hyperlink" Target="https://thereserve2.apx.com/mymodule/reg/prjView.asp?id1=946" TargetMode="External"/><Relationship Id="rId157" Type="http://schemas.openxmlformats.org/officeDocument/2006/relationships/hyperlink" Target="https://thereserve2.apx.com/mymodule/reg/prjView.asp?id1=1240" TargetMode="External"/><Relationship Id="rId278" Type="http://schemas.openxmlformats.org/officeDocument/2006/relationships/hyperlink" Target="https://thereserve2.apx.com/mymodule/reg/prjView.asp?id1=946" TargetMode="External"/><Relationship Id="rId156" Type="http://schemas.openxmlformats.org/officeDocument/2006/relationships/hyperlink" Target="https://thereserve2.apx.com/mymodule/reg/prjView.asp?id1=1239" TargetMode="External"/><Relationship Id="rId277" Type="http://schemas.openxmlformats.org/officeDocument/2006/relationships/hyperlink" Target="https://thereserve2.apx.com/mymodule/reg/prjView.asp?id1=946" TargetMode="External"/><Relationship Id="rId155" Type="http://schemas.openxmlformats.org/officeDocument/2006/relationships/hyperlink" Target="https://thereserve2.apx.com/mymodule/reg/prjView.asp?id1=1236" TargetMode="External"/><Relationship Id="rId276" Type="http://schemas.openxmlformats.org/officeDocument/2006/relationships/hyperlink" Target="https://thereserve2.apx.com/mymodule/reg/prjView.asp?id1=946" TargetMode="External"/><Relationship Id="rId107" Type="http://schemas.openxmlformats.org/officeDocument/2006/relationships/hyperlink" Target="https://greentrace.ice.com/acr/projects/registry/ACR_REGISTRY/project/P2323C9VXA24" TargetMode="External"/><Relationship Id="rId228" Type="http://schemas.openxmlformats.org/officeDocument/2006/relationships/hyperlink" Target="https://thereserve2.apx.com/mymodule/reg/prjView.asp?id1=604" TargetMode="External"/><Relationship Id="rId106" Type="http://schemas.openxmlformats.org/officeDocument/2006/relationships/hyperlink" Target="https://greentrace.ice.com/acr/projects/registry/ACR_REGISTRY/project/P2423C9VMS25" TargetMode="External"/><Relationship Id="rId227" Type="http://schemas.openxmlformats.org/officeDocument/2006/relationships/hyperlink" Target="https://thereserve2.apx.com/mymodule/reg/prjView.asp?id1=604" TargetMode="External"/><Relationship Id="rId105" Type="http://schemas.openxmlformats.org/officeDocument/2006/relationships/hyperlink" Target="https://greentrace.ice.com/acr/projects/registry/ACR_REGISTRY/project/P2423C9VNG25" TargetMode="External"/><Relationship Id="rId226" Type="http://schemas.openxmlformats.org/officeDocument/2006/relationships/hyperlink" Target="https://thereserve2.apx.com/mymodule/reg/prjView.asp?id1=604" TargetMode="External"/><Relationship Id="rId104" Type="http://schemas.openxmlformats.org/officeDocument/2006/relationships/hyperlink" Target="https://greentrace.ice.com/acr/projects/registry/ACR_REGISTRY/project/P2423C9VUH22" TargetMode="External"/><Relationship Id="rId225" Type="http://schemas.openxmlformats.org/officeDocument/2006/relationships/hyperlink" Target="https://thereserve2.apx.com/mymodule/reg/prjView.asp?id1=604" TargetMode="External"/><Relationship Id="rId109" Type="http://schemas.openxmlformats.org/officeDocument/2006/relationships/hyperlink" Target="https://greentrace.ice.com/acr/projects/registry/ACR_REGISTRY/project/P2323C9VMM22" TargetMode="External"/><Relationship Id="rId108" Type="http://schemas.openxmlformats.org/officeDocument/2006/relationships/hyperlink" Target="https://greentrace.ice.com/acr/projects/registry/ACR_REGISTRY/project/P2323C9VNH25" TargetMode="External"/><Relationship Id="rId229" Type="http://schemas.openxmlformats.org/officeDocument/2006/relationships/hyperlink" Target="https://thereserve2.apx.com/mymodule/reg/prjView.asp?id1=604" TargetMode="External"/><Relationship Id="rId220" Type="http://schemas.openxmlformats.org/officeDocument/2006/relationships/hyperlink" Target="https://greentrace.ice.com/acr/projects/registry/ACR_REGISTRY/project/P2323C9VXE22" TargetMode="External"/><Relationship Id="rId103" Type="http://schemas.openxmlformats.org/officeDocument/2006/relationships/hyperlink" Target="https://greentrace.ice.com/acr/projects/registry/ACR_REGISTRY/project/P2323C9VNY25" TargetMode="External"/><Relationship Id="rId224" Type="http://schemas.openxmlformats.org/officeDocument/2006/relationships/hyperlink" Target="https://thereserve2.apx.com/mymodule/reg/prjView.asp?id1=604" TargetMode="External"/><Relationship Id="rId102" Type="http://schemas.openxmlformats.org/officeDocument/2006/relationships/hyperlink" Target="https://greentrace.ice.com/acr/projects/registry/ACR_REGISTRY/project/P2323C9VNB23" TargetMode="External"/><Relationship Id="rId223" Type="http://schemas.openxmlformats.org/officeDocument/2006/relationships/hyperlink" Target="https://thereserve2.apx.com/mymodule/reg/prjView.asp?id1=604" TargetMode="External"/><Relationship Id="rId101" Type="http://schemas.openxmlformats.org/officeDocument/2006/relationships/hyperlink" Target="https://greentrace.ice.com/acr/projects/registry/ACR_REGISTRY/project/P2423C9VTN22" TargetMode="External"/><Relationship Id="rId222" Type="http://schemas.openxmlformats.org/officeDocument/2006/relationships/hyperlink" Target="https://thereserve2.apx.com/mymodule/reg/prjView.asp?id1=604" TargetMode="External"/><Relationship Id="rId100" Type="http://schemas.openxmlformats.org/officeDocument/2006/relationships/hyperlink" Target="https://greentrace.ice.com/acr/projects/registry/ACR_REGISTRY/project/P2323C9VN623" TargetMode="External"/><Relationship Id="rId221" Type="http://schemas.openxmlformats.org/officeDocument/2006/relationships/hyperlink" Target="https://greentrace.ice.com/acr/projects/registry/ACR_REGISTRY/project/P2323C9VXE22" TargetMode="External"/><Relationship Id="rId217" Type="http://schemas.openxmlformats.org/officeDocument/2006/relationships/hyperlink" Target="https://thereserve2.apx.com/mymodule/reg/prjView.asp?id1=992" TargetMode="External"/><Relationship Id="rId216" Type="http://schemas.openxmlformats.org/officeDocument/2006/relationships/hyperlink" Target="https://thereserve2.apx.com/mymodule/reg/prjView.asp?id1=2119" TargetMode="External"/><Relationship Id="rId215" Type="http://schemas.openxmlformats.org/officeDocument/2006/relationships/hyperlink" Target="https://thereserve2.apx.com/mymodule/reg/prjView.asp?id1=1860" TargetMode="External"/><Relationship Id="rId214" Type="http://schemas.openxmlformats.org/officeDocument/2006/relationships/hyperlink" Target="https://thereserve2.apx.com/mymodule/reg/prjView.asp?id1=1662" TargetMode="External"/><Relationship Id="rId219" Type="http://schemas.openxmlformats.org/officeDocument/2006/relationships/hyperlink" Target="https://greentrace.ice.com/acr/projects/registry/ACR_REGISTRY/project/P2423C9VJT24" TargetMode="External"/><Relationship Id="rId218" Type="http://schemas.openxmlformats.org/officeDocument/2006/relationships/hyperlink" Target="https://thereserve2.apx.com/mymodule/reg/prjView.asp?id1=995" TargetMode="External"/><Relationship Id="rId213" Type="http://schemas.openxmlformats.org/officeDocument/2006/relationships/hyperlink" Target="https://thereserve2.apx.com/mymodule/reg/prjView.asp?id1=1578" TargetMode="External"/><Relationship Id="rId212" Type="http://schemas.openxmlformats.org/officeDocument/2006/relationships/hyperlink" Target="https://thereserve2.apx.com/mymodule/reg/prjView.asp?id1=1560" TargetMode="External"/><Relationship Id="rId211" Type="http://schemas.openxmlformats.org/officeDocument/2006/relationships/hyperlink" Target="https://thereserve2.apx.com/mymodule/reg/prjView.asp?id1=1515" TargetMode="External"/><Relationship Id="rId210" Type="http://schemas.openxmlformats.org/officeDocument/2006/relationships/hyperlink" Target="https://thereserve2.apx.com/mymodule/reg/prjView.asp?id1=1498" TargetMode="External"/><Relationship Id="rId129" Type="http://schemas.openxmlformats.org/officeDocument/2006/relationships/hyperlink" Target="https://thereserve2.apx.com/mymodule/reg/prjView.asp?id1=1011" TargetMode="External"/><Relationship Id="rId128" Type="http://schemas.openxmlformats.org/officeDocument/2006/relationships/hyperlink" Target="https://thereserve2.apx.com/mymodule/reg/prjView.asp?id1=1000" TargetMode="External"/><Relationship Id="rId249" Type="http://schemas.openxmlformats.org/officeDocument/2006/relationships/hyperlink" Target="https://thereserve2.apx.com/mymodule/reg/prjView.asp?id1=804" TargetMode="External"/><Relationship Id="rId127" Type="http://schemas.openxmlformats.org/officeDocument/2006/relationships/hyperlink" Target="https://greentrace.ice.com/acr/projects/registry/ACR_REGISTRY/project/P2423C9VYN23" TargetMode="External"/><Relationship Id="rId248" Type="http://schemas.openxmlformats.org/officeDocument/2006/relationships/hyperlink" Target="https://thereserve2.apx.com/mymodule/reg/prjView.asp?id1=804" TargetMode="External"/><Relationship Id="rId126" Type="http://schemas.openxmlformats.org/officeDocument/2006/relationships/hyperlink" Target="https://greentrace.ice.com/acr/projects/registry/ACR_REGISTRY/project/P2323C9VYN24" TargetMode="External"/><Relationship Id="rId247" Type="http://schemas.openxmlformats.org/officeDocument/2006/relationships/hyperlink" Target="https://thereserve2.apx.com/mymodule/reg/prjView.asp?id1=804" TargetMode="External"/><Relationship Id="rId121" Type="http://schemas.openxmlformats.org/officeDocument/2006/relationships/hyperlink" Target="https://greentrace.ice.com/acr/projects/registry/ACR_REGISTRY/project/P2423C9VX622" TargetMode="External"/><Relationship Id="rId242" Type="http://schemas.openxmlformats.org/officeDocument/2006/relationships/hyperlink" Target="https://thereserve2.apx.com/mymodule/reg/prjView.asp?id1=786" TargetMode="External"/><Relationship Id="rId120" Type="http://schemas.openxmlformats.org/officeDocument/2006/relationships/hyperlink" Target="https://greentrace.ice.com/acr/projects/registry/ACR_REGISTRY/project/P2323C9VNV24" TargetMode="External"/><Relationship Id="rId241" Type="http://schemas.openxmlformats.org/officeDocument/2006/relationships/hyperlink" Target="https://thereserve2.apx.com/mymodule/reg/prjView.asp?id1=784" TargetMode="External"/><Relationship Id="rId240" Type="http://schemas.openxmlformats.org/officeDocument/2006/relationships/hyperlink" Target="https://thereserve2.apx.com/mymodule/reg/prjView.asp?id1=784" TargetMode="External"/><Relationship Id="rId125" Type="http://schemas.openxmlformats.org/officeDocument/2006/relationships/hyperlink" Target="https://greentrace.ice.com/acr/projects/registry/ACR_REGISTRY/project/P2423C9VMX24" TargetMode="External"/><Relationship Id="rId246" Type="http://schemas.openxmlformats.org/officeDocument/2006/relationships/hyperlink" Target="https://thereserve2.apx.com/mymodule/reg/prjView.asp?id1=804" TargetMode="External"/><Relationship Id="rId124" Type="http://schemas.openxmlformats.org/officeDocument/2006/relationships/hyperlink" Target="https://greentrace.ice.com/acr/projects/registry/ACR_REGISTRY/project/P2323C9VYM22" TargetMode="External"/><Relationship Id="rId245" Type="http://schemas.openxmlformats.org/officeDocument/2006/relationships/hyperlink" Target="https://thereserve2.apx.com/mymodule/reg/prjView.asp?id1=804" TargetMode="External"/><Relationship Id="rId123" Type="http://schemas.openxmlformats.org/officeDocument/2006/relationships/hyperlink" Target="https://greentrace.ice.com/acr/projects/registry/ACR_REGISTRY/project/P2423C9VLN23" TargetMode="External"/><Relationship Id="rId244" Type="http://schemas.openxmlformats.org/officeDocument/2006/relationships/hyperlink" Target="https://thereserve2.apx.com/mymodule/reg/prjView.asp?id1=795" TargetMode="External"/><Relationship Id="rId122" Type="http://schemas.openxmlformats.org/officeDocument/2006/relationships/hyperlink" Target="https://greentrace.ice.com/acr/projects/registry/ACR_REGISTRY/project/P2323C9VND22" TargetMode="External"/><Relationship Id="rId243" Type="http://schemas.openxmlformats.org/officeDocument/2006/relationships/hyperlink" Target="https://thereserve2.apx.com/mymodule/reg/prjView.asp?id1=795" TargetMode="External"/><Relationship Id="rId95" Type="http://schemas.openxmlformats.org/officeDocument/2006/relationships/hyperlink" Target="https://greentrace.ice.com/acr/projects/registry/ACR_REGISTRY/project/P2423C9VTQ24" TargetMode="External"/><Relationship Id="rId94" Type="http://schemas.openxmlformats.org/officeDocument/2006/relationships/hyperlink" Target="https://greentrace.ice.com/acr/projects/registry/ACR_REGISTRY/project/P2323C9VNG23" TargetMode="External"/><Relationship Id="rId97" Type="http://schemas.openxmlformats.org/officeDocument/2006/relationships/hyperlink" Target="https://greentrace.ice.com/acr/projects/registry/ACR_REGISTRY/project/P2323C9VMK24" TargetMode="External"/><Relationship Id="rId96" Type="http://schemas.openxmlformats.org/officeDocument/2006/relationships/hyperlink" Target="https://greentrace.ice.com/acr/projects/registry/ACR_REGISTRY/project/P2423C9VVU26" TargetMode="External"/><Relationship Id="rId99" Type="http://schemas.openxmlformats.org/officeDocument/2006/relationships/hyperlink" Target="https://greentrace.ice.com/acr/projects/registry/ACR_REGISTRY/project/P2323C9VNX26" TargetMode="External"/><Relationship Id="rId98" Type="http://schemas.openxmlformats.org/officeDocument/2006/relationships/hyperlink" Target="https://greentrace.ice.com/acr/projects/registry/ACR_REGISTRY/project/P2423C9VVV25" TargetMode="External"/><Relationship Id="rId91" Type="http://schemas.openxmlformats.org/officeDocument/2006/relationships/hyperlink" Target="https://greentrace.ice.com/acr/projects/registry/ACR_REGISTRY/project/P2423C9VUA25" TargetMode="External"/><Relationship Id="rId90" Type="http://schemas.openxmlformats.org/officeDocument/2006/relationships/hyperlink" Target="https://greentrace.ice.com/acr/projects/registry/ACR_REGISTRY/project/P2423C9VMK22" TargetMode="External"/><Relationship Id="rId93" Type="http://schemas.openxmlformats.org/officeDocument/2006/relationships/hyperlink" Target="https://greentrace.ice.com/acr/projects/registry/ACR_REGISTRY/project/P2323C9VXY26" TargetMode="External"/><Relationship Id="rId92" Type="http://schemas.openxmlformats.org/officeDocument/2006/relationships/hyperlink" Target="https://greentrace.ice.com/acr/projects/registry/ACR_REGISTRY/project/P2323C9VUC22" TargetMode="External"/><Relationship Id="rId118" Type="http://schemas.openxmlformats.org/officeDocument/2006/relationships/hyperlink" Target="https://greentrace.ice.com/acr/projects/registry/ACR_REGISTRY/project/P2423C9VY323" TargetMode="External"/><Relationship Id="rId239" Type="http://schemas.openxmlformats.org/officeDocument/2006/relationships/hyperlink" Target="https://thereserve2.apx.com/mymodule/reg/prjView.asp?id1=784" TargetMode="External"/><Relationship Id="rId117" Type="http://schemas.openxmlformats.org/officeDocument/2006/relationships/hyperlink" Target="https://greentrace.ice.com/acr/projects/registry/ACR_REGISTRY/project/P2323C9VMN23" TargetMode="External"/><Relationship Id="rId238" Type="http://schemas.openxmlformats.org/officeDocument/2006/relationships/hyperlink" Target="https://thereserve2.apx.com/mymodule/reg/prjView.asp?id1=784" TargetMode="External"/><Relationship Id="rId116" Type="http://schemas.openxmlformats.org/officeDocument/2006/relationships/hyperlink" Target="https://greentrace.ice.com/acr/projects/registry/ACR_REGISTRY/project/P2423C9VXZ23" TargetMode="External"/><Relationship Id="rId237" Type="http://schemas.openxmlformats.org/officeDocument/2006/relationships/hyperlink" Target="https://thereserve2.apx.com/mymodule/reg/prjView.asp?id1=781" TargetMode="External"/><Relationship Id="rId115" Type="http://schemas.openxmlformats.org/officeDocument/2006/relationships/hyperlink" Target="https://greentrace.ice.com/acr/projects/registry/ACR_REGISTRY/project/P2423C9VNH22" TargetMode="External"/><Relationship Id="rId236" Type="http://schemas.openxmlformats.org/officeDocument/2006/relationships/hyperlink" Target="https://thereserve2.apx.com/mymodule/reg/prjView.asp?id1=628" TargetMode="External"/><Relationship Id="rId119" Type="http://schemas.openxmlformats.org/officeDocument/2006/relationships/hyperlink" Target="https://greentrace.ice.com/acr/projects/registry/ACR_REGISTRY/project/P2423C9VND25" TargetMode="External"/><Relationship Id="rId110" Type="http://schemas.openxmlformats.org/officeDocument/2006/relationships/hyperlink" Target="https://greentrace.ice.com/acr/projects/registry/ACR_REGISTRY/project/P2423C9VNC24" TargetMode="External"/><Relationship Id="rId231" Type="http://schemas.openxmlformats.org/officeDocument/2006/relationships/hyperlink" Target="https://thereserve2.apx.com/mymodule/reg/prjView.asp?id1=604" TargetMode="External"/><Relationship Id="rId230" Type="http://schemas.openxmlformats.org/officeDocument/2006/relationships/hyperlink" Target="https://thereserve2.apx.com/mymodule/reg/prjView.asp?id1=604" TargetMode="External"/><Relationship Id="rId114" Type="http://schemas.openxmlformats.org/officeDocument/2006/relationships/hyperlink" Target="https://greentrace.ice.com/acr/projects/registry/ACR_REGISTRY/project/P2323C9VNC24" TargetMode="External"/><Relationship Id="rId235" Type="http://schemas.openxmlformats.org/officeDocument/2006/relationships/hyperlink" Target="https://thereserve2.apx.com/mymodule/reg/prjView.asp?id1=604" TargetMode="External"/><Relationship Id="rId113" Type="http://schemas.openxmlformats.org/officeDocument/2006/relationships/hyperlink" Target="https://greentrace.ice.com/acr/projects/registry/ACR_REGISTRY/project/P2423C9VMM23" TargetMode="External"/><Relationship Id="rId234" Type="http://schemas.openxmlformats.org/officeDocument/2006/relationships/hyperlink" Target="https://thereserve2.apx.com/mymodule/reg/prjView.asp?id1=604" TargetMode="External"/><Relationship Id="rId112" Type="http://schemas.openxmlformats.org/officeDocument/2006/relationships/hyperlink" Target="https://greentrace.ice.com/acr/projects/registry/ACR_REGISTRY/project/P2423C9VXZ24" TargetMode="External"/><Relationship Id="rId233" Type="http://schemas.openxmlformats.org/officeDocument/2006/relationships/hyperlink" Target="https://thereserve2.apx.com/mymodule/reg/prjView.asp?id1=604" TargetMode="External"/><Relationship Id="rId111" Type="http://schemas.openxmlformats.org/officeDocument/2006/relationships/hyperlink" Target="https://greentrace.ice.com/acr/projects/registry/ACR_REGISTRY/project/P2423C9VMM22" TargetMode="External"/><Relationship Id="rId232" Type="http://schemas.openxmlformats.org/officeDocument/2006/relationships/hyperlink" Target="https://thereserve2.apx.com/mymodule/reg/prjView.asp?id1=604" TargetMode="External"/><Relationship Id="rId305" Type="http://schemas.openxmlformats.org/officeDocument/2006/relationships/hyperlink" Target="https://thereserve2.apx.com/mymodule/reg/prjView.asp?id1=1023" TargetMode="External"/><Relationship Id="rId304" Type="http://schemas.openxmlformats.org/officeDocument/2006/relationships/hyperlink" Target="https://thereserve2.apx.com/mymodule/reg/prjView.asp?id1=1003" TargetMode="External"/><Relationship Id="rId303" Type="http://schemas.openxmlformats.org/officeDocument/2006/relationships/hyperlink" Target="https://thereserve2.apx.com/mymodule/reg/prjView.asp?id1=990" TargetMode="External"/><Relationship Id="rId302" Type="http://schemas.openxmlformats.org/officeDocument/2006/relationships/hyperlink" Target="https://thereserve2.apx.com/mymodule/reg/prjView.asp?id1=990" TargetMode="External"/><Relationship Id="rId307" Type="http://schemas.openxmlformats.org/officeDocument/2006/relationships/vmlDrawing" Target="../drawings/vmlDrawing1.vml"/><Relationship Id="rId306" Type="http://schemas.openxmlformats.org/officeDocument/2006/relationships/drawing" Target="../drawings/drawing1.xml"/><Relationship Id="rId301" Type="http://schemas.openxmlformats.org/officeDocument/2006/relationships/hyperlink" Target="https://thereserve2.apx.com/mymodule/reg/prjView.asp?id1=990" TargetMode="External"/><Relationship Id="rId300" Type="http://schemas.openxmlformats.org/officeDocument/2006/relationships/hyperlink" Target="https://thereserve2.apx.com/mymodule/reg/prjView.asp?id1=990" TargetMode="External"/><Relationship Id="rId206" Type="http://schemas.openxmlformats.org/officeDocument/2006/relationships/hyperlink" Target="https://thereserve2.apx.com/mymodule/reg/prjView.asp?id1=1456" TargetMode="External"/><Relationship Id="rId205" Type="http://schemas.openxmlformats.org/officeDocument/2006/relationships/hyperlink" Target="https://thereserve2.apx.com/mymodule/reg/prjView.asp?id1=1441" TargetMode="External"/><Relationship Id="rId204" Type="http://schemas.openxmlformats.org/officeDocument/2006/relationships/hyperlink" Target="https://thereserve2.apx.com/mymodule/reg/prjView.asp?id1=1418" TargetMode="External"/><Relationship Id="rId203" Type="http://schemas.openxmlformats.org/officeDocument/2006/relationships/hyperlink" Target="https://thereserve2.apx.com/mymodule/reg/prjView.asp?id1=1413" TargetMode="External"/><Relationship Id="rId209" Type="http://schemas.openxmlformats.org/officeDocument/2006/relationships/hyperlink" Target="https://thereserve2.apx.com/mymodule/reg/prjView.asp?id1=1493" TargetMode="External"/><Relationship Id="rId208" Type="http://schemas.openxmlformats.org/officeDocument/2006/relationships/hyperlink" Target="https://thereserve2.apx.com/mymodule/reg/prjView.asp?id1=1481" TargetMode="External"/><Relationship Id="rId207" Type="http://schemas.openxmlformats.org/officeDocument/2006/relationships/hyperlink" Target="https://thereserve2.apx.com/mymodule/reg/prjView.asp?id1=1458" TargetMode="External"/><Relationship Id="rId202" Type="http://schemas.openxmlformats.org/officeDocument/2006/relationships/hyperlink" Target="https://thereserve2.apx.com/mymodule/reg/prjView.asp?id1=1412" TargetMode="External"/><Relationship Id="rId201" Type="http://schemas.openxmlformats.org/officeDocument/2006/relationships/hyperlink" Target="https://thereserve2.apx.com/mymodule/reg/prjView.asp?id1=1401" TargetMode="External"/><Relationship Id="rId200" Type="http://schemas.openxmlformats.org/officeDocument/2006/relationships/hyperlink" Target="https://thereserve2.apx.com/mymodule/reg/prjView.asp?id1=1376"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drawing" Target="../drawings/drawing5.xml"/><Relationship Id="rId5"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drawing" Target="../drawings/drawing7.xml"/><Relationship Id="rId5"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3" max="13" width="13.0"/>
    <col hidden="1" min="27" max="34" width="12.63"/>
  </cols>
  <sheetData>
    <row r="1">
      <c r="A1" s="1" t="s">
        <v>0</v>
      </c>
      <c r="B1" s="1" t="s">
        <v>1</v>
      </c>
      <c r="C1" s="1" t="s">
        <v>2</v>
      </c>
      <c r="D1" s="1" t="s">
        <v>3</v>
      </c>
      <c r="E1" s="1" t="s">
        <v>4</v>
      </c>
      <c r="F1" s="1" t="s">
        <v>5</v>
      </c>
      <c r="G1" s="1" t="s">
        <v>6</v>
      </c>
      <c r="H1" s="1" t="s">
        <v>7</v>
      </c>
      <c r="I1" s="1" t="s">
        <v>8</v>
      </c>
      <c r="J1" s="1" t="s">
        <v>9</v>
      </c>
      <c r="K1" s="1" t="s">
        <v>10</v>
      </c>
      <c r="L1" s="1" t="s">
        <v>11</v>
      </c>
      <c r="M1" s="2" t="s">
        <v>12</v>
      </c>
      <c r="N1" s="1" t="s">
        <v>13</v>
      </c>
      <c r="O1" s="3" t="s">
        <v>14</v>
      </c>
      <c r="P1" s="1" t="s">
        <v>15</v>
      </c>
      <c r="Q1" s="4" t="s">
        <v>16</v>
      </c>
      <c r="R1" s="5" t="s">
        <v>17</v>
      </c>
      <c r="S1" s="5" t="s">
        <v>18</v>
      </c>
      <c r="T1" s="5" t="s">
        <v>19</v>
      </c>
      <c r="U1" s="5" t="s">
        <v>20</v>
      </c>
      <c r="V1" s="5" t="s">
        <v>21</v>
      </c>
      <c r="W1" s="5" t="s">
        <v>22</v>
      </c>
      <c r="X1" s="6" t="s">
        <v>23</v>
      </c>
      <c r="Y1" s="5" t="s">
        <v>24</v>
      </c>
      <c r="Z1" s="7" t="s">
        <v>25</v>
      </c>
      <c r="AA1" s="5" t="s">
        <v>26</v>
      </c>
      <c r="AB1" s="5" t="s">
        <v>27</v>
      </c>
      <c r="AC1" s="5" t="s">
        <v>28</v>
      </c>
      <c r="AD1" s="5" t="s">
        <v>29</v>
      </c>
      <c r="AE1" s="5" t="s">
        <v>30</v>
      </c>
      <c r="AF1" s="5" t="s">
        <v>31</v>
      </c>
      <c r="AG1" s="5" t="s">
        <v>32</v>
      </c>
      <c r="AH1" s="5" t="s">
        <v>33</v>
      </c>
    </row>
    <row r="2">
      <c r="A2" s="8" t="s">
        <v>34</v>
      </c>
      <c r="B2" s="8" t="s">
        <v>35</v>
      </c>
      <c r="C2" s="8">
        <v>1.0</v>
      </c>
      <c r="D2" s="8" t="s">
        <v>36</v>
      </c>
      <c r="E2" s="8" t="s">
        <v>37</v>
      </c>
      <c r="F2" s="9">
        <v>45195.0</v>
      </c>
      <c r="G2" s="9">
        <v>45317.0</v>
      </c>
      <c r="H2" s="8">
        <v>2024.0</v>
      </c>
      <c r="I2" s="8" t="s">
        <v>38</v>
      </c>
      <c r="J2" s="8" t="s">
        <v>39</v>
      </c>
      <c r="K2" s="8" t="s">
        <v>40</v>
      </c>
      <c r="L2" s="8" t="s">
        <v>41</v>
      </c>
      <c r="M2" s="10" t="s">
        <v>42</v>
      </c>
      <c r="N2" s="11">
        <v>79565.0</v>
      </c>
      <c r="O2" s="12" t="s">
        <v>43</v>
      </c>
      <c r="P2" s="8">
        <v>2014.0</v>
      </c>
      <c r="Q2" s="13">
        <v>9.286484077702461E-4</v>
      </c>
      <c r="R2" s="14">
        <v>0.752268673779788</v>
      </c>
      <c r="S2" s="14">
        <v>0.0</v>
      </c>
      <c r="T2" s="14">
        <v>0.21644281685980582</v>
      </c>
      <c r="U2" s="14">
        <v>0.017259384812221775</v>
      </c>
      <c r="V2" s="14">
        <v>0.01310047614041402</v>
      </c>
      <c r="W2" s="14">
        <v>0.0</v>
      </c>
      <c r="X2" s="15">
        <v>0.0</v>
      </c>
      <c r="Y2" s="14"/>
      <c r="Z2" s="16"/>
      <c r="AA2" s="17">
        <v>9.0E-4</v>
      </c>
      <c r="AB2" s="17">
        <v>0.7538</v>
      </c>
      <c r="AC2" s="17">
        <v>0.0</v>
      </c>
      <c r="AD2" s="17">
        <v>0.2112</v>
      </c>
      <c r="AE2" s="17">
        <v>0.0176</v>
      </c>
      <c r="AF2" s="17">
        <v>0.0164</v>
      </c>
      <c r="AG2" s="17">
        <v>0.0</v>
      </c>
      <c r="AH2" s="17">
        <v>0.0</v>
      </c>
    </row>
    <row r="3">
      <c r="A3" s="8" t="s">
        <v>44</v>
      </c>
      <c r="B3" s="8" t="s">
        <v>45</v>
      </c>
      <c r="C3" s="8">
        <v>1.0</v>
      </c>
      <c r="D3" s="8" t="s">
        <v>36</v>
      </c>
      <c r="E3" s="8" t="s">
        <v>37</v>
      </c>
      <c r="F3" s="9">
        <v>45378.0</v>
      </c>
      <c r="G3" s="9">
        <v>45415.0</v>
      </c>
      <c r="H3" s="8">
        <v>2024.0</v>
      </c>
      <c r="I3" s="8" t="s">
        <v>46</v>
      </c>
      <c r="J3" s="8" t="s">
        <v>47</v>
      </c>
      <c r="K3" s="8" t="s">
        <v>48</v>
      </c>
      <c r="L3" s="8" t="s">
        <v>49</v>
      </c>
      <c r="M3" s="10" t="s">
        <v>50</v>
      </c>
      <c r="N3" s="11">
        <v>92445.0</v>
      </c>
      <c r="O3" s="12" t="s">
        <v>43</v>
      </c>
      <c r="P3" s="8">
        <v>2014.0</v>
      </c>
      <c r="Q3" s="18">
        <v>0.0992</v>
      </c>
      <c r="R3" s="17">
        <v>0.8762</v>
      </c>
      <c r="S3" s="17">
        <v>0.0</v>
      </c>
      <c r="T3" s="17">
        <v>0.0064</v>
      </c>
      <c r="U3" s="17">
        <v>0.0181</v>
      </c>
      <c r="V3" s="17">
        <v>2.0E-4</v>
      </c>
      <c r="W3" s="17">
        <v>0.0</v>
      </c>
      <c r="X3" s="19">
        <v>0.0</v>
      </c>
      <c r="Y3" s="17"/>
      <c r="Z3" s="20"/>
      <c r="AA3" s="17">
        <v>0.098</v>
      </c>
      <c r="AB3" s="17">
        <v>0.8771</v>
      </c>
      <c r="AC3" s="17">
        <v>0.0</v>
      </c>
      <c r="AD3" s="17">
        <v>0.0063</v>
      </c>
      <c r="AE3" s="17">
        <v>0.0185</v>
      </c>
      <c r="AF3" s="17">
        <v>2.0E-4</v>
      </c>
      <c r="AG3" s="17">
        <v>0.0</v>
      </c>
      <c r="AH3" s="17">
        <v>0.0</v>
      </c>
    </row>
    <row r="4">
      <c r="A4" s="8" t="s">
        <v>51</v>
      </c>
      <c r="B4" s="8" t="s">
        <v>52</v>
      </c>
      <c r="C4" s="8">
        <v>1.0</v>
      </c>
      <c r="D4" s="8" t="s">
        <v>36</v>
      </c>
      <c r="E4" s="8" t="s">
        <v>37</v>
      </c>
      <c r="F4" s="9">
        <v>45362.0</v>
      </c>
      <c r="G4" s="9">
        <v>45376.0</v>
      </c>
      <c r="H4" s="8">
        <v>2024.0</v>
      </c>
      <c r="I4" s="8" t="s">
        <v>53</v>
      </c>
      <c r="J4" s="8" t="s">
        <v>54</v>
      </c>
      <c r="K4" s="8" t="s">
        <v>48</v>
      </c>
      <c r="L4" s="8" t="s">
        <v>55</v>
      </c>
      <c r="M4" s="10" t="s">
        <v>56</v>
      </c>
      <c r="N4" s="11">
        <v>83176.0</v>
      </c>
      <c r="O4" s="12" t="s">
        <v>43</v>
      </c>
      <c r="P4" s="8">
        <v>2014.0</v>
      </c>
      <c r="Q4" s="18">
        <v>2.0E-4</v>
      </c>
      <c r="R4" s="17">
        <v>0.6724</v>
      </c>
      <c r="S4" s="17">
        <v>0.0</v>
      </c>
      <c r="T4" s="17">
        <v>0.3238</v>
      </c>
      <c r="U4" s="17">
        <v>0.0</v>
      </c>
      <c r="V4" s="17">
        <v>0.0036</v>
      </c>
      <c r="W4" s="17">
        <v>0.0</v>
      </c>
      <c r="X4" s="19">
        <v>0.0</v>
      </c>
      <c r="Y4" s="17"/>
      <c r="Z4" s="20"/>
      <c r="AA4" s="17">
        <v>2.0E-4</v>
      </c>
      <c r="AB4" s="17">
        <v>0.6776</v>
      </c>
      <c r="AC4" s="17">
        <v>0.0</v>
      </c>
      <c r="AD4" s="17">
        <v>0.3177</v>
      </c>
      <c r="AE4" s="17">
        <v>0.0</v>
      </c>
      <c r="AF4" s="17">
        <v>0.0045</v>
      </c>
      <c r="AG4" s="17">
        <v>0.0</v>
      </c>
      <c r="AH4" s="17">
        <v>0.0</v>
      </c>
    </row>
    <row r="5">
      <c r="A5" s="8" t="s">
        <v>57</v>
      </c>
      <c r="B5" s="8" t="s">
        <v>58</v>
      </c>
      <c r="C5" s="8">
        <v>1.0</v>
      </c>
      <c r="D5" s="8" t="s">
        <v>36</v>
      </c>
      <c r="E5" s="8" t="s">
        <v>37</v>
      </c>
      <c r="F5" s="9">
        <v>45300.0</v>
      </c>
      <c r="G5" s="9">
        <v>45340.0</v>
      </c>
      <c r="H5" s="8">
        <v>2024.0</v>
      </c>
      <c r="I5" s="8" t="s">
        <v>59</v>
      </c>
      <c r="J5" s="8" t="s">
        <v>47</v>
      </c>
      <c r="K5" s="8" t="s">
        <v>60</v>
      </c>
      <c r="L5" s="8" t="s">
        <v>61</v>
      </c>
      <c r="M5" s="10" t="s">
        <v>62</v>
      </c>
      <c r="N5" s="11">
        <v>78611.0</v>
      </c>
      <c r="O5" s="12" t="s">
        <v>43</v>
      </c>
      <c r="P5" s="8">
        <v>2014.0</v>
      </c>
      <c r="Q5" s="18">
        <v>0.0596</v>
      </c>
      <c r="R5" s="17">
        <v>0.9159</v>
      </c>
      <c r="S5" s="17">
        <v>0.0</v>
      </c>
      <c r="T5" s="17">
        <v>0.0218</v>
      </c>
      <c r="U5" s="17">
        <v>0.0016</v>
      </c>
      <c r="V5" s="17">
        <v>0.001</v>
      </c>
      <c r="W5" s="17">
        <v>0.0</v>
      </c>
      <c r="X5" s="19">
        <v>0.0</v>
      </c>
      <c r="Y5" s="17"/>
      <c r="Z5" s="20"/>
      <c r="AA5" s="17">
        <v>0.0588</v>
      </c>
      <c r="AB5" s="17">
        <v>0.9167</v>
      </c>
      <c r="AC5" s="17">
        <v>2.0E-4</v>
      </c>
      <c r="AD5" s="17">
        <v>0.0213</v>
      </c>
      <c r="AE5" s="17">
        <v>0.0016</v>
      </c>
      <c r="AF5" s="17">
        <v>0.0012</v>
      </c>
      <c r="AG5" s="17">
        <v>0.0</v>
      </c>
      <c r="AH5" s="17">
        <v>0.0</v>
      </c>
    </row>
    <row r="6">
      <c r="A6" s="8" t="s">
        <v>63</v>
      </c>
      <c r="B6" s="8" t="s">
        <v>64</v>
      </c>
      <c r="C6" s="8">
        <v>1.0</v>
      </c>
      <c r="D6" s="8" t="s">
        <v>36</v>
      </c>
      <c r="E6" s="8" t="s">
        <v>37</v>
      </c>
      <c r="F6" s="9">
        <v>45475.0</v>
      </c>
      <c r="G6" s="9">
        <v>45478.0</v>
      </c>
      <c r="H6" s="8">
        <v>2024.0</v>
      </c>
      <c r="I6" s="8" t="s">
        <v>65</v>
      </c>
      <c r="J6" s="8" t="s">
        <v>47</v>
      </c>
      <c r="K6" s="8" t="s">
        <v>48</v>
      </c>
      <c r="L6" s="8" t="s">
        <v>66</v>
      </c>
      <c r="M6" s="10" t="s">
        <v>67</v>
      </c>
      <c r="N6" s="11">
        <v>130298.0</v>
      </c>
      <c r="O6" s="12" t="s">
        <v>43</v>
      </c>
      <c r="P6" s="8">
        <v>2014.0</v>
      </c>
      <c r="Q6" s="18">
        <v>3.0E-4</v>
      </c>
      <c r="R6" s="17">
        <v>0.9709</v>
      </c>
      <c r="S6" s="17">
        <v>0.0</v>
      </c>
      <c r="T6" s="17">
        <v>0.0</v>
      </c>
      <c r="U6" s="17">
        <v>0.0282</v>
      </c>
      <c r="V6" s="17">
        <v>6.0E-4</v>
      </c>
      <c r="W6" s="17">
        <v>0.0</v>
      </c>
      <c r="X6" s="19">
        <v>0.0</v>
      </c>
      <c r="Y6" s="17"/>
      <c r="Z6" s="20"/>
      <c r="AA6" s="17">
        <v>3.0E-4</v>
      </c>
      <c r="AB6" s="17">
        <v>0.9702</v>
      </c>
      <c r="AC6" s="17">
        <v>0.0</v>
      </c>
      <c r="AD6" s="17">
        <v>0.0</v>
      </c>
      <c r="AE6" s="17">
        <v>0.0287</v>
      </c>
      <c r="AF6" s="17">
        <v>8.0E-4</v>
      </c>
      <c r="AG6" s="17">
        <v>0.0</v>
      </c>
      <c r="AH6" s="17">
        <v>0.0</v>
      </c>
    </row>
    <row r="7">
      <c r="A7" s="8" t="s">
        <v>68</v>
      </c>
      <c r="B7" s="8" t="s">
        <v>69</v>
      </c>
      <c r="C7" s="8">
        <v>1.0</v>
      </c>
      <c r="D7" s="8" t="s">
        <v>36</v>
      </c>
      <c r="E7" s="8" t="s">
        <v>37</v>
      </c>
      <c r="F7" s="9">
        <v>45371.0</v>
      </c>
      <c r="G7" s="9">
        <v>45469.0</v>
      </c>
      <c r="H7" s="8">
        <v>2024.0</v>
      </c>
      <c r="I7" s="8" t="s">
        <v>70</v>
      </c>
      <c r="J7" s="8" t="s">
        <v>39</v>
      </c>
      <c r="K7" s="8" t="s">
        <v>40</v>
      </c>
      <c r="L7" s="8" t="s">
        <v>71</v>
      </c>
      <c r="M7" s="10" t="s">
        <v>72</v>
      </c>
      <c r="N7" s="11">
        <v>92278.0</v>
      </c>
      <c r="O7" s="12" t="s">
        <v>43</v>
      </c>
      <c r="P7" s="8">
        <v>2014.0</v>
      </c>
      <c r="Q7" s="18">
        <v>0.193</v>
      </c>
      <c r="R7" s="17">
        <v>0.6716</v>
      </c>
      <c r="S7" s="17">
        <v>0.0</v>
      </c>
      <c r="T7" s="17">
        <v>0.1005</v>
      </c>
      <c r="U7" s="17">
        <v>0.0217</v>
      </c>
      <c r="V7" s="17">
        <v>0.0132</v>
      </c>
      <c r="W7" s="17">
        <v>0.0</v>
      </c>
      <c r="X7" s="19">
        <v>0.0</v>
      </c>
      <c r="Y7" s="17"/>
      <c r="Z7" s="20"/>
      <c r="AA7" s="17">
        <v>0.1908</v>
      </c>
      <c r="AB7" s="17">
        <v>0.6725</v>
      </c>
      <c r="AC7" s="17">
        <v>0.0</v>
      </c>
      <c r="AD7" s="17">
        <v>0.098</v>
      </c>
      <c r="AE7" s="17">
        <v>0.0221</v>
      </c>
      <c r="AF7" s="17">
        <v>0.0166</v>
      </c>
      <c r="AG7" s="17">
        <v>0.0</v>
      </c>
      <c r="AH7" s="17">
        <v>0.0</v>
      </c>
    </row>
    <row r="8">
      <c r="A8" s="8" t="s">
        <v>73</v>
      </c>
      <c r="B8" s="8" t="s">
        <v>74</v>
      </c>
      <c r="C8" s="8">
        <v>1.0</v>
      </c>
      <c r="D8" s="8" t="s">
        <v>36</v>
      </c>
      <c r="E8" s="8" t="s">
        <v>37</v>
      </c>
      <c r="F8" s="9">
        <v>45538.0</v>
      </c>
      <c r="G8" s="9">
        <v>45540.0</v>
      </c>
      <c r="H8" s="8">
        <v>2024.0</v>
      </c>
      <c r="I8" s="8" t="s">
        <v>75</v>
      </c>
      <c r="J8" s="8" t="s">
        <v>47</v>
      </c>
      <c r="K8" s="8" t="s">
        <v>48</v>
      </c>
      <c r="L8" s="8" t="s">
        <v>76</v>
      </c>
      <c r="M8" s="10" t="s">
        <v>77</v>
      </c>
      <c r="N8" s="11">
        <v>63169.0</v>
      </c>
      <c r="O8" s="12" t="s">
        <v>43</v>
      </c>
      <c r="P8" s="8">
        <v>2014.0</v>
      </c>
      <c r="Q8" s="18">
        <v>0.0</v>
      </c>
      <c r="R8" s="17">
        <v>0.9993</v>
      </c>
      <c r="S8" s="17">
        <v>0.0</v>
      </c>
      <c r="T8" s="17">
        <v>0.0</v>
      </c>
      <c r="U8" s="17">
        <v>5.0E-4</v>
      </c>
      <c r="V8" s="17">
        <v>2.0E-4</v>
      </c>
      <c r="W8" s="17">
        <v>0.0</v>
      </c>
      <c r="X8" s="19">
        <v>0.0</v>
      </c>
      <c r="Y8" s="17"/>
      <c r="Z8" s="20"/>
      <c r="AA8" s="17">
        <v>0.0</v>
      </c>
      <c r="AB8" s="17">
        <v>0.9992</v>
      </c>
      <c r="AC8" s="17">
        <v>0.0</v>
      </c>
      <c r="AD8" s="17">
        <v>0.0</v>
      </c>
      <c r="AE8" s="17">
        <v>5.0E-4</v>
      </c>
      <c r="AF8" s="17">
        <v>2.0E-4</v>
      </c>
      <c r="AG8" s="17">
        <v>0.0</v>
      </c>
      <c r="AH8" s="17">
        <v>0.0</v>
      </c>
    </row>
    <row r="9">
      <c r="A9" s="8" t="s">
        <v>78</v>
      </c>
      <c r="B9" s="8" t="s">
        <v>79</v>
      </c>
      <c r="C9" s="8">
        <v>1.0</v>
      </c>
      <c r="D9" s="8" t="s">
        <v>36</v>
      </c>
      <c r="E9" s="8" t="s">
        <v>37</v>
      </c>
      <c r="F9" s="9">
        <v>45482.0</v>
      </c>
      <c r="G9" s="9">
        <v>45533.0</v>
      </c>
      <c r="H9" s="8">
        <v>2024.0</v>
      </c>
      <c r="I9" s="8" t="s">
        <v>80</v>
      </c>
      <c r="J9" s="8" t="s">
        <v>54</v>
      </c>
      <c r="K9" s="8" t="s">
        <v>81</v>
      </c>
      <c r="L9" s="8" t="s">
        <v>82</v>
      </c>
      <c r="M9" s="10" t="s">
        <v>83</v>
      </c>
      <c r="N9" s="11">
        <v>120685.0</v>
      </c>
      <c r="O9" s="12" t="s">
        <v>43</v>
      </c>
      <c r="P9" s="8">
        <v>2014.0</v>
      </c>
      <c r="Q9" s="18">
        <v>0.4959</v>
      </c>
      <c r="R9" s="17">
        <v>0.0029</v>
      </c>
      <c r="S9" s="17">
        <v>0.0</v>
      </c>
      <c r="T9" s="17">
        <v>0.4288</v>
      </c>
      <c r="U9" s="17">
        <v>0.0717</v>
      </c>
      <c r="V9" s="17">
        <v>7.0E-4</v>
      </c>
      <c r="W9" s="17">
        <v>0.0</v>
      </c>
      <c r="X9" s="19">
        <v>0.0</v>
      </c>
      <c r="Y9" s="17"/>
      <c r="Z9" s="20"/>
      <c r="AA9" s="17">
        <v>0.4975</v>
      </c>
      <c r="AB9" s="17">
        <v>0.0029</v>
      </c>
      <c r="AC9" s="17">
        <v>0.0</v>
      </c>
      <c r="AD9" s="17">
        <v>0.4243</v>
      </c>
      <c r="AE9" s="17">
        <v>0.0744</v>
      </c>
      <c r="AF9" s="17">
        <v>9.0E-4</v>
      </c>
      <c r="AG9" s="17">
        <v>0.0</v>
      </c>
      <c r="AH9" s="17">
        <v>0.0</v>
      </c>
    </row>
    <row r="10">
      <c r="A10" s="8" t="s">
        <v>84</v>
      </c>
      <c r="B10" s="8" t="s">
        <v>85</v>
      </c>
      <c r="C10" s="8">
        <v>1.0</v>
      </c>
      <c r="D10" s="8" t="s">
        <v>36</v>
      </c>
      <c r="E10" s="8" t="s">
        <v>37</v>
      </c>
      <c r="F10" s="9">
        <v>45588.0</v>
      </c>
      <c r="G10" s="9">
        <v>45591.0</v>
      </c>
      <c r="H10" s="8">
        <v>2024.0</v>
      </c>
      <c r="I10" s="8" t="s">
        <v>86</v>
      </c>
      <c r="J10" s="8" t="s">
        <v>47</v>
      </c>
      <c r="K10" s="8" t="s">
        <v>48</v>
      </c>
      <c r="L10" s="8" t="s">
        <v>87</v>
      </c>
      <c r="M10" s="10" t="s">
        <v>88</v>
      </c>
      <c r="N10" s="11">
        <v>67943.0</v>
      </c>
      <c r="O10" s="12" t="s">
        <v>43</v>
      </c>
      <c r="P10" s="8">
        <v>2014.0</v>
      </c>
      <c r="Q10" s="18">
        <v>0.084</v>
      </c>
      <c r="R10" s="17">
        <v>0.9103</v>
      </c>
      <c r="S10" s="17">
        <v>0.0</v>
      </c>
      <c r="T10" s="17">
        <v>0.0056</v>
      </c>
      <c r="U10" s="17">
        <v>1.0E-4</v>
      </c>
      <c r="V10" s="17">
        <v>0.0</v>
      </c>
      <c r="W10" s="17">
        <v>0.0</v>
      </c>
      <c r="X10" s="19">
        <v>0.0</v>
      </c>
      <c r="Y10" s="17"/>
      <c r="Z10" s="20"/>
      <c r="AA10" s="17">
        <v>0.083</v>
      </c>
      <c r="AB10" s="17">
        <v>0.9115</v>
      </c>
      <c r="AC10" s="17">
        <v>0.0</v>
      </c>
      <c r="AD10" s="17">
        <v>0.0054</v>
      </c>
      <c r="AE10" s="17">
        <v>1.0E-4</v>
      </c>
      <c r="AF10" s="17">
        <v>0.0</v>
      </c>
      <c r="AG10" s="17">
        <v>0.0</v>
      </c>
      <c r="AH10" s="17">
        <v>0.0</v>
      </c>
    </row>
    <row r="11">
      <c r="A11" s="8" t="s">
        <v>89</v>
      </c>
      <c r="B11" s="8" t="s">
        <v>90</v>
      </c>
      <c r="C11" s="8">
        <v>1.0</v>
      </c>
      <c r="D11" s="8" t="s">
        <v>36</v>
      </c>
      <c r="E11" s="8" t="s">
        <v>37</v>
      </c>
      <c r="F11" s="9">
        <v>45602.0</v>
      </c>
      <c r="G11" s="9">
        <v>45616.0</v>
      </c>
      <c r="H11" s="8">
        <v>2024.0</v>
      </c>
      <c r="I11" s="8" t="s">
        <v>91</v>
      </c>
      <c r="J11" s="8" t="s">
        <v>54</v>
      </c>
      <c r="K11" s="8" t="s">
        <v>81</v>
      </c>
      <c r="L11" s="8" t="s">
        <v>92</v>
      </c>
      <c r="M11" s="10" t="s">
        <v>93</v>
      </c>
      <c r="N11" s="11">
        <v>45693.0</v>
      </c>
      <c r="O11" s="12" t="s">
        <v>43</v>
      </c>
      <c r="P11" s="8">
        <v>2014.0</v>
      </c>
      <c r="Q11" s="18">
        <v>0.959</v>
      </c>
      <c r="R11" s="17">
        <v>5.0E-4</v>
      </c>
      <c r="S11" s="17">
        <v>0.0</v>
      </c>
      <c r="T11" s="17">
        <v>0.0382</v>
      </c>
      <c r="U11" s="17">
        <v>0.0021</v>
      </c>
      <c r="V11" s="17">
        <v>1.0E-4</v>
      </c>
      <c r="W11" s="17">
        <v>0.0</v>
      </c>
      <c r="X11" s="19">
        <v>0.0</v>
      </c>
      <c r="Y11" s="17"/>
      <c r="Z11" s="20"/>
      <c r="AA11" s="17">
        <v>0.9594</v>
      </c>
      <c r="AB11" s="17">
        <v>5.0E-4</v>
      </c>
      <c r="AC11" s="17">
        <v>0.0</v>
      </c>
      <c r="AD11" s="17">
        <v>0.0377</v>
      </c>
      <c r="AE11" s="17">
        <v>0.0022</v>
      </c>
      <c r="AF11" s="17">
        <v>1.0E-4</v>
      </c>
      <c r="AG11" s="17">
        <v>0.0</v>
      </c>
      <c r="AH11" s="17">
        <v>0.0</v>
      </c>
    </row>
    <row r="12">
      <c r="A12" s="8" t="s">
        <v>94</v>
      </c>
      <c r="B12" s="8" t="s">
        <v>95</v>
      </c>
      <c r="C12" s="8">
        <v>1.0</v>
      </c>
      <c r="D12" s="8" t="s">
        <v>36</v>
      </c>
      <c r="E12" s="8" t="s">
        <v>37</v>
      </c>
      <c r="F12" s="9">
        <v>45722.0</v>
      </c>
      <c r="G12" s="9">
        <v>45742.0</v>
      </c>
      <c r="H12" s="8">
        <v>2025.0</v>
      </c>
      <c r="I12" s="8" t="s">
        <v>96</v>
      </c>
      <c r="J12" s="8" t="s">
        <v>54</v>
      </c>
      <c r="K12" s="8" t="s">
        <v>81</v>
      </c>
      <c r="L12" s="8" t="s">
        <v>97</v>
      </c>
      <c r="M12" s="10" t="s">
        <v>98</v>
      </c>
      <c r="N12" s="11">
        <v>61040.0</v>
      </c>
      <c r="O12" s="12" t="s">
        <v>43</v>
      </c>
      <c r="P12" s="8">
        <v>2014.0</v>
      </c>
      <c r="Q12" s="18">
        <v>0.9969</v>
      </c>
      <c r="R12" s="17">
        <v>2.0E-4</v>
      </c>
      <c r="S12" s="17">
        <v>0.0</v>
      </c>
      <c r="T12" s="17">
        <v>0.0017</v>
      </c>
      <c r="U12" s="17">
        <v>0.0011</v>
      </c>
      <c r="V12" s="17">
        <v>0.0</v>
      </c>
      <c r="W12" s="17">
        <v>0.0</v>
      </c>
      <c r="X12" s="19">
        <v>0.0</v>
      </c>
      <c r="Y12" s="17"/>
      <c r="Z12" s="20"/>
      <c r="AA12" s="17">
        <v>0.9969</v>
      </c>
      <c r="AB12" s="17">
        <v>3.0E-4</v>
      </c>
      <c r="AC12" s="17">
        <v>0.0</v>
      </c>
      <c r="AD12" s="17">
        <v>0.0017</v>
      </c>
      <c r="AE12" s="17">
        <v>0.0011</v>
      </c>
      <c r="AF12" s="17">
        <v>0.0</v>
      </c>
      <c r="AG12" s="17">
        <v>0.0</v>
      </c>
      <c r="AH12" s="17">
        <v>0.0</v>
      </c>
    </row>
    <row r="13">
      <c r="A13" s="21" t="s">
        <v>99</v>
      </c>
      <c r="B13" s="21" t="s">
        <v>100</v>
      </c>
      <c r="C13" s="21">
        <v>1.0</v>
      </c>
      <c r="D13" s="21" t="s">
        <v>36</v>
      </c>
      <c r="E13" s="21" t="s">
        <v>37</v>
      </c>
      <c r="F13" s="22">
        <v>40996.0</v>
      </c>
      <c r="G13" s="22">
        <v>41175.0</v>
      </c>
      <c r="H13" s="21">
        <v>2012.0</v>
      </c>
      <c r="I13" s="21" t="s">
        <v>101</v>
      </c>
      <c r="J13" s="21" t="s">
        <v>102</v>
      </c>
      <c r="K13" s="21" t="s">
        <v>103</v>
      </c>
      <c r="L13" s="21" t="s">
        <v>104</v>
      </c>
      <c r="M13" s="23" t="s">
        <v>105</v>
      </c>
      <c r="N13" s="24">
        <v>306517.0</v>
      </c>
      <c r="O13" s="25" t="s">
        <v>43</v>
      </c>
      <c r="P13" s="21">
        <v>2011.0</v>
      </c>
      <c r="Q13" s="26">
        <v>0.0281</v>
      </c>
      <c r="R13" s="27">
        <v>0.9592</v>
      </c>
      <c r="S13" s="27">
        <v>0.0</v>
      </c>
      <c r="T13" s="27">
        <v>0.0</v>
      </c>
      <c r="U13" s="27">
        <v>0.0108</v>
      </c>
      <c r="V13" s="27">
        <v>0.0018</v>
      </c>
      <c r="W13" s="27">
        <v>0.0</v>
      </c>
      <c r="X13" s="28">
        <v>0.0</v>
      </c>
      <c r="Y13" s="27"/>
      <c r="Z13" s="29"/>
      <c r="AA13" s="27">
        <v>0.0277</v>
      </c>
      <c r="AB13" s="27">
        <v>0.959</v>
      </c>
      <c r="AC13" s="27">
        <v>0.0</v>
      </c>
      <c r="AD13" s="27">
        <v>0.0</v>
      </c>
      <c r="AE13" s="27">
        <v>0.011</v>
      </c>
      <c r="AF13" s="27">
        <v>0.0022</v>
      </c>
      <c r="AG13" s="27">
        <v>0.0</v>
      </c>
      <c r="AH13" s="27">
        <v>0.0</v>
      </c>
    </row>
    <row r="14">
      <c r="A14" s="8" t="s">
        <v>106</v>
      </c>
      <c r="B14" s="8" t="s">
        <v>107</v>
      </c>
      <c r="C14" s="8">
        <v>1.0</v>
      </c>
      <c r="D14" s="8" t="s">
        <v>36</v>
      </c>
      <c r="E14" s="8" t="s">
        <v>37</v>
      </c>
      <c r="F14" s="9">
        <v>41359.0</v>
      </c>
      <c r="G14" s="9">
        <v>41364.0</v>
      </c>
      <c r="H14" s="8">
        <v>2013.0</v>
      </c>
      <c r="I14" s="8" t="s">
        <v>108</v>
      </c>
      <c r="J14" s="8" t="s">
        <v>109</v>
      </c>
      <c r="K14" s="8" t="s">
        <v>110</v>
      </c>
      <c r="L14" s="8" t="s">
        <v>111</v>
      </c>
      <c r="M14" s="10" t="s">
        <v>112</v>
      </c>
      <c r="N14" s="11">
        <v>55996.0</v>
      </c>
      <c r="O14" s="12" t="s">
        <v>43</v>
      </c>
      <c r="P14" s="8">
        <v>2011.0</v>
      </c>
      <c r="Q14" s="18">
        <v>0.0229</v>
      </c>
      <c r="R14" s="17">
        <v>4.0E-4</v>
      </c>
      <c r="S14" s="17">
        <v>0.0</v>
      </c>
      <c r="T14" s="17">
        <v>0.9057</v>
      </c>
      <c r="U14" s="17">
        <v>0.0709</v>
      </c>
      <c r="V14" s="17">
        <v>0.0</v>
      </c>
      <c r="W14" s="17">
        <v>0.0</v>
      </c>
      <c r="X14" s="19">
        <v>0.0</v>
      </c>
      <c r="Y14" s="17"/>
      <c r="Z14" s="20"/>
      <c r="AA14" s="17">
        <v>0.0231</v>
      </c>
      <c r="AB14" s="17">
        <v>5.0E-4</v>
      </c>
      <c r="AC14" s="17">
        <v>0.0</v>
      </c>
      <c r="AD14" s="17">
        <v>0.9024</v>
      </c>
      <c r="AE14" s="17">
        <v>0.074</v>
      </c>
      <c r="AF14" s="17">
        <v>0.0</v>
      </c>
      <c r="AG14" s="17">
        <v>0.0</v>
      </c>
      <c r="AH14" s="17">
        <v>0.0</v>
      </c>
    </row>
    <row r="15">
      <c r="A15" s="8" t="s">
        <v>113</v>
      </c>
      <c r="B15" s="8" t="s">
        <v>114</v>
      </c>
      <c r="C15" s="8">
        <v>1.0</v>
      </c>
      <c r="D15" s="8" t="s">
        <v>36</v>
      </c>
      <c r="E15" s="8" t="s">
        <v>37</v>
      </c>
      <c r="F15" s="9">
        <v>41351.0</v>
      </c>
      <c r="G15" s="9">
        <v>41436.0</v>
      </c>
      <c r="H15" s="8">
        <v>2013.0</v>
      </c>
      <c r="I15" s="8" t="s">
        <v>115</v>
      </c>
      <c r="J15" s="8" t="s">
        <v>102</v>
      </c>
      <c r="K15" s="8" t="s">
        <v>103</v>
      </c>
      <c r="L15" s="8" t="s">
        <v>116</v>
      </c>
      <c r="M15" s="10" t="s">
        <v>117</v>
      </c>
      <c r="N15" s="11">
        <v>255227.0</v>
      </c>
      <c r="O15" s="12" t="s">
        <v>43</v>
      </c>
      <c r="P15" s="8">
        <v>2011.0</v>
      </c>
      <c r="Q15" s="18">
        <v>0.0</v>
      </c>
      <c r="R15" s="17">
        <v>1.0</v>
      </c>
      <c r="S15" s="17">
        <v>0.0</v>
      </c>
      <c r="T15" s="17">
        <v>0.0</v>
      </c>
      <c r="U15" s="17">
        <v>0.0</v>
      </c>
      <c r="V15" s="17">
        <v>0.0</v>
      </c>
      <c r="W15" s="17">
        <v>0.0</v>
      </c>
      <c r="X15" s="19">
        <v>0.0</v>
      </c>
      <c r="Y15" s="17"/>
      <c r="Z15" s="20"/>
      <c r="AA15" s="17">
        <v>0.0</v>
      </c>
      <c r="AB15" s="17">
        <v>1.0</v>
      </c>
      <c r="AC15" s="17">
        <v>0.0</v>
      </c>
      <c r="AD15" s="17">
        <v>0.0</v>
      </c>
      <c r="AE15" s="17">
        <v>0.0</v>
      </c>
      <c r="AF15" s="17">
        <v>0.0</v>
      </c>
      <c r="AG15" s="17">
        <v>0.0</v>
      </c>
      <c r="AH15" s="17">
        <v>0.0</v>
      </c>
    </row>
    <row r="16">
      <c r="A16" s="8" t="s">
        <v>118</v>
      </c>
      <c r="B16" s="8" t="s">
        <v>119</v>
      </c>
      <c r="C16" s="8">
        <v>1.0</v>
      </c>
      <c r="D16" s="8" t="s">
        <v>36</v>
      </c>
      <c r="E16" s="8" t="s">
        <v>37</v>
      </c>
      <c r="F16" s="9">
        <v>41437.0</v>
      </c>
      <c r="G16" s="9">
        <v>41442.0</v>
      </c>
      <c r="H16" s="8">
        <v>2013.0</v>
      </c>
      <c r="I16" s="8" t="s">
        <v>120</v>
      </c>
      <c r="J16" s="8" t="s">
        <v>121</v>
      </c>
      <c r="K16" s="8" t="s">
        <v>122</v>
      </c>
      <c r="L16" s="8" t="s">
        <v>123</v>
      </c>
      <c r="M16" s="10" t="s">
        <v>124</v>
      </c>
      <c r="N16" s="11">
        <v>50600.0</v>
      </c>
      <c r="O16" s="12" t="s">
        <v>43</v>
      </c>
      <c r="P16" s="8">
        <v>2011.0</v>
      </c>
      <c r="Q16" s="18">
        <v>0.0</v>
      </c>
      <c r="R16" s="17">
        <v>1.0</v>
      </c>
      <c r="S16" s="17">
        <v>0.0</v>
      </c>
      <c r="T16" s="17">
        <v>0.0</v>
      </c>
      <c r="U16" s="17">
        <v>0.0</v>
      </c>
      <c r="V16" s="17">
        <v>0.0</v>
      </c>
      <c r="W16" s="17">
        <v>0.0</v>
      </c>
      <c r="X16" s="19">
        <v>0.0</v>
      </c>
      <c r="Y16" s="17"/>
      <c r="Z16" s="20"/>
      <c r="AA16" s="17">
        <v>0.0</v>
      </c>
      <c r="AB16" s="17">
        <v>1.0</v>
      </c>
      <c r="AC16" s="17">
        <v>0.0</v>
      </c>
      <c r="AD16" s="17">
        <v>0.0</v>
      </c>
      <c r="AE16" s="17">
        <v>0.0</v>
      </c>
      <c r="AF16" s="17">
        <v>0.0</v>
      </c>
      <c r="AG16" s="17">
        <v>0.0</v>
      </c>
      <c r="AH16" s="17">
        <v>0.0</v>
      </c>
    </row>
    <row r="17">
      <c r="A17" s="8" t="s">
        <v>125</v>
      </c>
      <c r="B17" s="8" t="s">
        <v>126</v>
      </c>
      <c r="C17" s="8">
        <v>1.0</v>
      </c>
      <c r="D17" s="8" t="s">
        <v>36</v>
      </c>
      <c r="E17" s="8" t="s">
        <v>37</v>
      </c>
      <c r="F17" s="9">
        <v>41516.0</v>
      </c>
      <c r="G17" s="9">
        <v>41526.0</v>
      </c>
      <c r="H17" s="8">
        <v>2013.0</v>
      </c>
      <c r="I17" s="8" t="s">
        <v>127</v>
      </c>
      <c r="J17" s="8" t="s">
        <v>109</v>
      </c>
      <c r="K17" s="8" t="s">
        <v>110</v>
      </c>
      <c r="L17" s="8" t="s">
        <v>128</v>
      </c>
      <c r="M17" s="10" t="s">
        <v>129</v>
      </c>
      <c r="N17" s="11">
        <v>51864.0</v>
      </c>
      <c r="O17" s="12" t="s">
        <v>43</v>
      </c>
      <c r="P17" s="8">
        <v>2011.0</v>
      </c>
      <c r="Q17" s="18">
        <v>0.9946</v>
      </c>
      <c r="R17" s="17">
        <v>5.0E-4</v>
      </c>
      <c r="S17" s="17">
        <v>0.0</v>
      </c>
      <c r="T17" s="17">
        <v>0.0049</v>
      </c>
      <c r="U17" s="17">
        <v>0.0</v>
      </c>
      <c r="V17" s="17">
        <v>0.0</v>
      </c>
      <c r="W17" s="17">
        <v>0.0</v>
      </c>
      <c r="X17" s="19">
        <v>0.0</v>
      </c>
      <c r="Y17" s="17"/>
      <c r="Z17" s="20"/>
      <c r="AA17" s="17">
        <v>0.9947</v>
      </c>
      <c r="AB17" s="17">
        <v>5.0E-4</v>
      </c>
      <c r="AC17" s="17">
        <v>0.0</v>
      </c>
      <c r="AD17" s="17">
        <v>0.0048</v>
      </c>
      <c r="AE17" s="17">
        <v>0.0</v>
      </c>
      <c r="AF17" s="17">
        <v>0.0</v>
      </c>
      <c r="AG17" s="17">
        <v>0.0</v>
      </c>
      <c r="AH17" s="17">
        <v>0.0</v>
      </c>
    </row>
    <row r="18">
      <c r="A18" s="8" t="s">
        <v>130</v>
      </c>
      <c r="B18" s="8" t="s">
        <v>131</v>
      </c>
      <c r="C18" s="8">
        <v>1.0</v>
      </c>
      <c r="D18" s="8" t="s">
        <v>36</v>
      </c>
      <c r="E18" s="8" t="s">
        <v>37</v>
      </c>
      <c r="F18" s="9">
        <v>41665.0</v>
      </c>
      <c r="G18" s="9">
        <v>41669.0</v>
      </c>
      <c r="H18" s="8">
        <v>2014.0</v>
      </c>
      <c r="I18" s="8" t="s">
        <v>132</v>
      </c>
      <c r="J18" s="8" t="s">
        <v>109</v>
      </c>
      <c r="K18" s="8" t="s">
        <v>133</v>
      </c>
      <c r="L18" s="8" t="s">
        <v>134</v>
      </c>
      <c r="M18" s="10" t="s">
        <v>135</v>
      </c>
      <c r="N18" s="11">
        <v>84418.0</v>
      </c>
      <c r="O18" s="12" t="s">
        <v>43</v>
      </c>
      <c r="P18" s="8">
        <v>2011.0</v>
      </c>
      <c r="Q18" s="18">
        <v>0.0</v>
      </c>
      <c r="R18" s="17">
        <v>0.9997</v>
      </c>
      <c r="S18" s="17">
        <v>0.0</v>
      </c>
      <c r="T18" s="17">
        <v>0.0</v>
      </c>
      <c r="U18" s="17">
        <v>2.0E-4</v>
      </c>
      <c r="V18" s="17">
        <v>1.0E-4</v>
      </c>
      <c r="W18" s="17">
        <v>0.0</v>
      </c>
      <c r="X18" s="19">
        <v>0.0</v>
      </c>
      <c r="Y18" s="17"/>
      <c r="Z18" s="20"/>
      <c r="AA18" s="17">
        <v>0.0</v>
      </c>
      <c r="AB18" s="17">
        <v>0.9997</v>
      </c>
      <c r="AC18" s="17">
        <v>0.0</v>
      </c>
      <c r="AD18" s="17">
        <v>0.0</v>
      </c>
      <c r="AE18" s="17">
        <v>2.0E-4</v>
      </c>
      <c r="AF18" s="17">
        <v>1.0E-4</v>
      </c>
      <c r="AG18" s="17">
        <v>0.0</v>
      </c>
      <c r="AH18" s="17">
        <v>0.0</v>
      </c>
    </row>
    <row r="19">
      <c r="A19" s="8" t="s">
        <v>136</v>
      </c>
      <c r="B19" s="8" t="s">
        <v>137</v>
      </c>
      <c r="C19" s="8">
        <v>1.0</v>
      </c>
      <c r="D19" s="8" t="s">
        <v>36</v>
      </c>
      <c r="E19" s="8" t="s">
        <v>37</v>
      </c>
      <c r="F19" s="9">
        <v>41704.0</v>
      </c>
      <c r="G19" s="9">
        <v>41730.0</v>
      </c>
      <c r="H19" s="8">
        <v>2014.0</v>
      </c>
      <c r="I19" s="8" t="s">
        <v>138</v>
      </c>
      <c r="J19" s="8" t="s">
        <v>109</v>
      </c>
      <c r="K19" s="8" t="s">
        <v>133</v>
      </c>
      <c r="L19" s="8" t="s">
        <v>139</v>
      </c>
      <c r="M19" s="10" t="s">
        <v>140</v>
      </c>
      <c r="N19" s="11">
        <v>122080.0</v>
      </c>
      <c r="O19" s="12" t="s">
        <v>43</v>
      </c>
      <c r="P19" s="8">
        <v>2011.0</v>
      </c>
      <c r="Q19" s="18">
        <v>0.2537</v>
      </c>
      <c r="R19" s="17">
        <v>0.7368</v>
      </c>
      <c r="S19" s="17">
        <v>0.0</v>
      </c>
      <c r="T19" s="17">
        <v>8.0E-4</v>
      </c>
      <c r="U19" s="17">
        <v>0.0066</v>
      </c>
      <c r="V19" s="17">
        <v>0.0022</v>
      </c>
      <c r="W19" s="17">
        <v>0.0</v>
      </c>
      <c r="X19" s="19">
        <v>0.0</v>
      </c>
      <c r="Y19" s="17"/>
      <c r="Z19" s="20"/>
      <c r="AA19" s="17">
        <v>0.251</v>
      </c>
      <c r="AB19" s="17">
        <v>0.7388</v>
      </c>
      <c r="AC19" s="17">
        <v>0.0</v>
      </c>
      <c r="AD19" s="17">
        <v>7.0E-4</v>
      </c>
      <c r="AE19" s="17">
        <v>0.0067</v>
      </c>
      <c r="AF19" s="17">
        <v>0.0027</v>
      </c>
      <c r="AG19" s="17">
        <v>0.0</v>
      </c>
      <c r="AH19" s="17">
        <v>0.0</v>
      </c>
    </row>
    <row r="20">
      <c r="A20" s="8" t="s">
        <v>141</v>
      </c>
      <c r="B20" s="8" t="s">
        <v>142</v>
      </c>
      <c r="C20" s="8">
        <v>1.0</v>
      </c>
      <c r="D20" s="8" t="s">
        <v>36</v>
      </c>
      <c r="E20" s="8" t="s">
        <v>37</v>
      </c>
      <c r="F20" s="9">
        <v>41262.0</v>
      </c>
      <c r="G20" s="9">
        <v>41579.0</v>
      </c>
      <c r="H20" s="8">
        <v>2013.0</v>
      </c>
      <c r="I20" s="8" t="s">
        <v>143</v>
      </c>
      <c r="J20" s="8" t="s">
        <v>144</v>
      </c>
      <c r="K20" s="8" t="s">
        <v>81</v>
      </c>
      <c r="L20" s="8" t="s">
        <v>145</v>
      </c>
      <c r="M20" s="10" t="s">
        <v>146</v>
      </c>
      <c r="N20" s="11">
        <v>56124.0</v>
      </c>
      <c r="O20" s="12" t="s">
        <v>147</v>
      </c>
      <c r="P20" s="8">
        <v>2011.0</v>
      </c>
      <c r="Q20" s="18">
        <v>0.9671</v>
      </c>
      <c r="R20" s="17">
        <v>0.001</v>
      </c>
      <c r="S20" s="17">
        <v>0.0</v>
      </c>
      <c r="T20" s="17">
        <v>0.0319</v>
      </c>
      <c r="U20" s="17">
        <v>0.0</v>
      </c>
      <c r="V20" s="17">
        <v>0.0</v>
      </c>
      <c r="W20" s="17">
        <v>0.0</v>
      </c>
      <c r="X20" s="19">
        <v>0.0</v>
      </c>
      <c r="Y20" s="17"/>
      <c r="Z20" s="20" t="s">
        <v>148</v>
      </c>
      <c r="AA20" s="17">
        <v>0.9675</v>
      </c>
      <c r="AB20" s="17">
        <v>0.001</v>
      </c>
      <c r="AC20" s="17">
        <v>0.0</v>
      </c>
      <c r="AD20" s="17">
        <v>0.0315</v>
      </c>
      <c r="AE20" s="17">
        <v>0.0</v>
      </c>
      <c r="AF20" s="17">
        <v>0.0</v>
      </c>
      <c r="AG20" s="17">
        <v>0.0</v>
      </c>
      <c r="AH20" s="17">
        <v>0.0</v>
      </c>
    </row>
    <row r="21">
      <c r="A21" s="8" t="s">
        <v>149</v>
      </c>
      <c r="B21" s="8" t="s">
        <v>150</v>
      </c>
      <c r="C21" s="8">
        <v>1.0</v>
      </c>
      <c r="D21" s="8" t="s">
        <v>36</v>
      </c>
      <c r="E21" s="8" t="s">
        <v>37</v>
      </c>
      <c r="F21" s="9">
        <v>41615.0</v>
      </c>
      <c r="G21" s="9">
        <v>41623.0</v>
      </c>
      <c r="H21" s="8">
        <v>2013.0</v>
      </c>
      <c r="I21" s="8" t="s">
        <v>151</v>
      </c>
      <c r="J21" s="8" t="s">
        <v>121</v>
      </c>
      <c r="K21" s="8" t="s">
        <v>122</v>
      </c>
      <c r="L21" s="8" t="s">
        <v>152</v>
      </c>
      <c r="M21" s="10" t="s">
        <v>153</v>
      </c>
      <c r="N21" s="11">
        <v>88044.0</v>
      </c>
      <c r="O21" s="12" t="s">
        <v>43</v>
      </c>
      <c r="P21" s="8">
        <v>2011.0</v>
      </c>
      <c r="Q21" s="18">
        <v>2.0E-4</v>
      </c>
      <c r="R21" s="17">
        <v>0.9996</v>
      </c>
      <c r="S21" s="17">
        <v>0.0</v>
      </c>
      <c r="T21" s="17">
        <v>1.0E-4</v>
      </c>
      <c r="U21" s="17">
        <v>0.0</v>
      </c>
      <c r="V21" s="17">
        <v>2.0E-4</v>
      </c>
      <c r="W21" s="17">
        <v>0.0</v>
      </c>
      <c r="X21" s="19">
        <v>0.0</v>
      </c>
      <c r="Y21" s="17"/>
      <c r="Z21" s="20"/>
      <c r="AA21" s="17">
        <v>2.0E-4</v>
      </c>
      <c r="AB21" s="17">
        <v>0.9995</v>
      </c>
      <c r="AC21" s="17">
        <v>0.0</v>
      </c>
      <c r="AD21" s="17">
        <v>1.0E-4</v>
      </c>
      <c r="AE21" s="17">
        <v>0.0</v>
      </c>
      <c r="AF21" s="17">
        <v>2.0E-4</v>
      </c>
      <c r="AG21" s="17">
        <v>0.0</v>
      </c>
      <c r="AH21" s="17">
        <v>0.0</v>
      </c>
    </row>
    <row r="22">
      <c r="A22" s="8" t="s">
        <v>154</v>
      </c>
      <c r="B22" s="8" t="s">
        <v>155</v>
      </c>
      <c r="C22" s="8">
        <v>1.0</v>
      </c>
      <c r="D22" s="8" t="s">
        <v>36</v>
      </c>
      <c r="E22" s="8" t="s">
        <v>37</v>
      </c>
      <c r="F22" s="9">
        <v>41743.0</v>
      </c>
      <c r="G22" s="9">
        <v>41751.0</v>
      </c>
      <c r="H22" s="8">
        <v>2014.0</v>
      </c>
      <c r="I22" s="8" t="s">
        <v>156</v>
      </c>
      <c r="J22" s="8" t="s">
        <v>109</v>
      </c>
      <c r="K22" s="8" t="s">
        <v>133</v>
      </c>
      <c r="L22" s="8" t="s">
        <v>157</v>
      </c>
      <c r="M22" s="10" t="s">
        <v>158</v>
      </c>
      <c r="N22" s="11">
        <v>71825.0</v>
      </c>
      <c r="O22" s="12" t="s">
        <v>43</v>
      </c>
      <c r="P22" s="8">
        <v>2011.0</v>
      </c>
      <c r="Q22" s="18">
        <v>0.0</v>
      </c>
      <c r="R22" s="17">
        <v>0.9995</v>
      </c>
      <c r="S22" s="17">
        <v>0.0</v>
      </c>
      <c r="T22" s="17">
        <v>0.0</v>
      </c>
      <c r="U22" s="17">
        <v>4.0E-4</v>
      </c>
      <c r="V22" s="17">
        <v>2.0E-4</v>
      </c>
      <c r="W22" s="17">
        <v>0.0</v>
      </c>
      <c r="X22" s="19">
        <v>0.0</v>
      </c>
      <c r="Y22" s="17"/>
      <c r="Z22" s="20"/>
      <c r="AA22" s="17">
        <v>0.0</v>
      </c>
      <c r="AB22" s="17">
        <v>0.9994</v>
      </c>
      <c r="AC22" s="17">
        <v>0.0</v>
      </c>
      <c r="AD22" s="17">
        <v>0.0</v>
      </c>
      <c r="AE22" s="17">
        <v>4.0E-4</v>
      </c>
      <c r="AF22" s="17">
        <v>2.0E-4</v>
      </c>
      <c r="AG22" s="17">
        <v>0.0</v>
      </c>
      <c r="AH22" s="17">
        <v>0.0</v>
      </c>
    </row>
    <row r="23">
      <c r="A23" s="8" t="s">
        <v>159</v>
      </c>
      <c r="B23" s="8" t="s">
        <v>160</v>
      </c>
      <c r="C23" s="8">
        <v>1.0</v>
      </c>
      <c r="D23" s="8" t="s">
        <v>36</v>
      </c>
      <c r="E23" s="8" t="s">
        <v>37</v>
      </c>
      <c r="F23" s="9">
        <v>41641.0</v>
      </c>
      <c r="G23" s="9">
        <v>41782.0</v>
      </c>
      <c r="H23" s="8">
        <v>2014.0</v>
      </c>
      <c r="I23" s="8" t="s">
        <v>161</v>
      </c>
      <c r="J23" s="8" t="s">
        <v>144</v>
      </c>
      <c r="K23" s="8" t="s">
        <v>81</v>
      </c>
      <c r="L23" s="8" t="s">
        <v>162</v>
      </c>
      <c r="M23" s="10" t="s">
        <v>163</v>
      </c>
      <c r="N23" s="11">
        <v>315794.0</v>
      </c>
      <c r="O23" s="12" t="s">
        <v>43</v>
      </c>
      <c r="P23" s="8">
        <v>2011.0</v>
      </c>
      <c r="Q23" s="18">
        <v>0.5672</v>
      </c>
      <c r="R23" s="17">
        <v>0.4287</v>
      </c>
      <c r="S23" s="17">
        <v>0.0</v>
      </c>
      <c r="T23" s="17">
        <v>0.0034</v>
      </c>
      <c r="U23" s="17">
        <v>4.0E-4</v>
      </c>
      <c r="V23" s="17">
        <v>4.0E-4</v>
      </c>
      <c r="W23" s="17">
        <v>0.0</v>
      </c>
      <c r="X23" s="19">
        <v>0.0</v>
      </c>
      <c r="Y23" s="17"/>
      <c r="Z23" s="20"/>
      <c r="AA23" s="17">
        <v>0.5639</v>
      </c>
      <c r="AB23" s="17">
        <v>0.4319</v>
      </c>
      <c r="AC23" s="17">
        <v>0.0</v>
      </c>
      <c r="AD23" s="17">
        <v>0.0033</v>
      </c>
      <c r="AE23" s="17">
        <v>4.0E-4</v>
      </c>
      <c r="AF23" s="17">
        <v>5.0E-4</v>
      </c>
      <c r="AG23" s="17">
        <v>0.0</v>
      </c>
      <c r="AH23" s="17">
        <v>0.0</v>
      </c>
    </row>
    <row r="24">
      <c r="A24" s="8" t="s">
        <v>164</v>
      </c>
      <c r="B24" s="8" t="s">
        <v>165</v>
      </c>
      <c r="C24" s="8">
        <v>1.0</v>
      </c>
      <c r="D24" s="8" t="s">
        <v>36</v>
      </c>
      <c r="E24" s="8" t="s">
        <v>37</v>
      </c>
      <c r="F24" s="9">
        <v>42074.0</v>
      </c>
      <c r="G24" s="9">
        <v>42087.0</v>
      </c>
      <c r="H24" s="8">
        <v>2015.0</v>
      </c>
      <c r="I24" s="8" t="s">
        <v>166</v>
      </c>
      <c r="J24" s="8" t="s">
        <v>109</v>
      </c>
      <c r="K24" s="8" t="s">
        <v>48</v>
      </c>
      <c r="L24" s="8" t="s">
        <v>167</v>
      </c>
      <c r="M24" s="10" t="s">
        <v>168</v>
      </c>
      <c r="N24" s="11">
        <v>127664.0</v>
      </c>
      <c r="O24" s="12" t="s">
        <v>43</v>
      </c>
      <c r="P24" s="8">
        <v>2011.0</v>
      </c>
      <c r="Q24" s="18">
        <v>0.0</v>
      </c>
      <c r="R24" s="17">
        <v>0.9995</v>
      </c>
      <c r="S24" s="17">
        <v>0.0</v>
      </c>
      <c r="T24" s="17">
        <v>1.0E-4</v>
      </c>
      <c r="U24" s="17">
        <v>4.0E-4</v>
      </c>
      <c r="V24" s="17">
        <v>0.0</v>
      </c>
      <c r="W24" s="17">
        <v>0.0</v>
      </c>
      <c r="X24" s="19">
        <v>0.0</v>
      </c>
      <c r="Y24" s="17"/>
      <c r="Z24" s="20"/>
      <c r="AA24" s="30">
        <f t="shared" ref="AA24:AH24" si="1">(AA7*($C19/$C7))/$C19</f>
        <v>0.1908</v>
      </c>
      <c r="AB24" s="30">
        <f t="shared" si="1"/>
        <v>0.6725</v>
      </c>
      <c r="AC24" s="30">
        <f t="shared" si="1"/>
        <v>0</v>
      </c>
      <c r="AD24" s="30">
        <f t="shared" si="1"/>
        <v>0.098</v>
      </c>
      <c r="AE24" s="30">
        <f t="shared" si="1"/>
        <v>0.0221</v>
      </c>
      <c r="AF24" s="30">
        <f t="shared" si="1"/>
        <v>0.0166</v>
      </c>
      <c r="AG24" s="30">
        <f t="shared" si="1"/>
        <v>0</v>
      </c>
      <c r="AH24" s="30">
        <f t="shared" si="1"/>
        <v>0</v>
      </c>
    </row>
    <row r="25">
      <c r="A25" s="8" t="s">
        <v>169</v>
      </c>
      <c r="B25" s="8" t="s">
        <v>170</v>
      </c>
      <c r="C25" s="8">
        <v>1.0</v>
      </c>
      <c r="D25" s="8" t="s">
        <v>36</v>
      </c>
      <c r="E25" s="8" t="s">
        <v>37</v>
      </c>
      <c r="F25" s="9">
        <v>42128.0</v>
      </c>
      <c r="G25" s="9">
        <v>42144.0</v>
      </c>
      <c r="H25" s="8">
        <v>2015.0</v>
      </c>
      <c r="I25" s="8" t="s">
        <v>171</v>
      </c>
      <c r="J25" s="8" t="s">
        <v>109</v>
      </c>
      <c r="K25" s="8" t="s">
        <v>48</v>
      </c>
      <c r="L25" s="8" t="s">
        <v>172</v>
      </c>
      <c r="M25" s="10" t="s">
        <v>173</v>
      </c>
      <c r="N25" s="11">
        <v>145580.0</v>
      </c>
      <c r="O25" s="12" t="s">
        <v>43</v>
      </c>
      <c r="P25" s="8">
        <v>2011.0</v>
      </c>
      <c r="Q25" s="18">
        <v>2.0E-4</v>
      </c>
      <c r="R25" s="17">
        <v>0.9995</v>
      </c>
      <c r="S25" s="17">
        <v>0.0</v>
      </c>
      <c r="T25" s="17">
        <v>0.0</v>
      </c>
      <c r="U25" s="17">
        <v>2.0E-4</v>
      </c>
      <c r="V25" s="17">
        <v>1.0E-4</v>
      </c>
      <c r="W25" s="17">
        <v>0.0</v>
      </c>
      <c r="X25" s="19">
        <v>0.0</v>
      </c>
      <c r="Y25" s="17"/>
      <c r="Z25" s="20"/>
      <c r="AA25" s="17">
        <v>2.0E-4</v>
      </c>
      <c r="AB25" s="17">
        <v>0.9994</v>
      </c>
      <c r="AC25" s="17">
        <v>0.0</v>
      </c>
      <c r="AD25" s="17">
        <v>0.0</v>
      </c>
      <c r="AE25" s="17">
        <v>2.0E-4</v>
      </c>
      <c r="AF25" s="17">
        <v>2.0E-4</v>
      </c>
      <c r="AG25" s="17">
        <v>0.0</v>
      </c>
      <c r="AH25" s="17">
        <v>0.0</v>
      </c>
    </row>
    <row r="26">
      <c r="A26" s="8" t="s">
        <v>174</v>
      </c>
      <c r="B26" s="8" t="s">
        <v>175</v>
      </c>
      <c r="C26" s="8">
        <v>1.0</v>
      </c>
      <c r="D26" s="8" t="s">
        <v>36</v>
      </c>
      <c r="E26" s="8" t="s">
        <v>37</v>
      </c>
      <c r="F26" s="9">
        <v>41810.0</v>
      </c>
      <c r="G26" s="9">
        <v>41822.0</v>
      </c>
      <c r="H26" s="8">
        <v>2014.0</v>
      </c>
      <c r="I26" s="8" t="s">
        <v>176</v>
      </c>
      <c r="J26" s="8" t="s">
        <v>121</v>
      </c>
      <c r="K26" s="8" t="s">
        <v>122</v>
      </c>
      <c r="L26" s="8" t="s">
        <v>177</v>
      </c>
      <c r="M26" s="10" t="s">
        <v>178</v>
      </c>
      <c r="N26" s="11">
        <v>112378.0</v>
      </c>
      <c r="O26" s="12" t="s">
        <v>43</v>
      </c>
      <c r="P26" s="8">
        <v>2011.0</v>
      </c>
      <c r="Q26" s="18">
        <v>4.0E-4</v>
      </c>
      <c r="R26" s="17">
        <v>0.9993</v>
      </c>
      <c r="S26" s="17">
        <v>0.0</v>
      </c>
      <c r="T26" s="17">
        <v>3.0E-4</v>
      </c>
      <c r="U26" s="17">
        <v>0.0</v>
      </c>
      <c r="V26" s="17">
        <v>0.0</v>
      </c>
      <c r="W26" s="17">
        <v>0.0</v>
      </c>
      <c r="X26" s="19">
        <v>0.0</v>
      </c>
      <c r="Y26" s="17"/>
      <c r="Z26" s="20"/>
      <c r="AA26" s="17">
        <v>4.0E-4</v>
      </c>
      <c r="AB26" s="17">
        <v>0.9993</v>
      </c>
      <c r="AC26" s="17">
        <v>0.0</v>
      </c>
      <c r="AD26" s="17">
        <v>3.0E-4</v>
      </c>
      <c r="AE26" s="17">
        <v>0.0</v>
      </c>
      <c r="AF26" s="17">
        <v>0.0</v>
      </c>
      <c r="AG26" s="17">
        <v>0.0</v>
      </c>
      <c r="AH26" s="17">
        <v>0.0</v>
      </c>
    </row>
    <row r="27">
      <c r="A27" s="8" t="s">
        <v>179</v>
      </c>
      <c r="B27" s="8" t="s">
        <v>180</v>
      </c>
      <c r="C27" s="8">
        <v>1.0</v>
      </c>
      <c r="D27" s="8" t="s">
        <v>36</v>
      </c>
      <c r="E27" s="8" t="s">
        <v>37</v>
      </c>
      <c r="F27" s="9">
        <v>42027.0</v>
      </c>
      <c r="G27" s="9">
        <v>42048.0</v>
      </c>
      <c r="H27" s="8">
        <v>2015.0</v>
      </c>
      <c r="I27" s="8" t="s">
        <v>181</v>
      </c>
      <c r="J27" s="8" t="s">
        <v>121</v>
      </c>
      <c r="K27" s="8" t="s">
        <v>122</v>
      </c>
      <c r="L27" s="8" t="s">
        <v>182</v>
      </c>
      <c r="M27" s="10" t="s">
        <v>183</v>
      </c>
      <c r="N27" s="11">
        <v>110003.0</v>
      </c>
      <c r="O27" s="12" t="s">
        <v>43</v>
      </c>
      <c r="P27" s="8">
        <v>2011.0</v>
      </c>
      <c r="Q27" s="18">
        <v>1.0E-4</v>
      </c>
      <c r="R27" s="17">
        <v>0.9999</v>
      </c>
      <c r="S27" s="17">
        <v>0.0</v>
      </c>
      <c r="T27" s="17">
        <v>0.0</v>
      </c>
      <c r="U27" s="17">
        <v>0.0</v>
      </c>
      <c r="V27" s="17">
        <v>0.0</v>
      </c>
      <c r="W27" s="17">
        <v>0.0</v>
      </c>
      <c r="X27" s="19">
        <v>0.0</v>
      </c>
      <c r="Y27" s="17"/>
      <c r="Z27" s="20"/>
      <c r="AA27" s="17">
        <v>1.0E-4</v>
      </c>
      <c r="AB27" s="17">
        <v>0.9999</v>
      </c>
      <c r="AC27" s="17">
        <v>0.0</v>
      </c>
      <c r="AD27" s="17">
        <v>0.0</v>
      </c>
      <c r="AE27" s="17">
        <v>0.0</v>
      </c>
      <c r="AF27" s="17">
        <v>0.0</v>
      </c>
      <c r="AG27" s="17">
        <v>0.0</v>
      </c>
      <c r="AH27" s="19">
        <v>0.0</v>
      </c>
    </row>
    <row r="28">
      <c r="A28" s="8" t="s">
        <v>184</v>
      </c>
      <c r="B28" s="8" t="s">
        <v>185</v>
      </c>
      <c r="C28" s="8">
        <v>1.0</v>
      </c>
      <c r="D28" s="8" t="s">
        <v>36</v>
      </c>
      <c r="E28" s="8" t="s">
        <v>37</v>
      </c>
      <c r="F28" s="9">
        <v>42276.0</v>
      </c>
      <c r="G28" s="9">
        <v>42295.0</v>
      </c>
      <c r="H28" s="8">
        <v>2015.0</v>
      </c>
      <c r="I28" s="8" t="s">
        <v>186</v>
      </c>
      <c r="J28" s="8" t="s">
        <v>109</v>
      </c>
      <c r="K28" s="8" t="s">
        <v>48</v>
      </c>
      <c r="L28" s="8" t="s">
        <v>187</v>
      </c>
      <c r="M28" s="10" t="s">
        <v>188</v>
      </c>
      <c r="N28" s="11">
        <v>129700.0</v>
      </c>
      <c r="O28" s="12" t="s">
        <v>43</v>
      </c>
      <c r="P28" s="31">
        <v>2014.0</v>
      </c>
      <c r="Q28" s="17">
        <v>0.0</v>
      </c>
      <c r="R28" s="17">
        <v>0.9998</v>
      </c>
      <c r="S28" s="17">
        <v>0.0</v>
      </c>
      <c r="T28" s="17">
        <v>0.0</v>
      </c>
      <c r="U28" s="17">
        <v>1.0E-4</v>
      </c>
      <c r="V28" s="17">
        <v>0.0</v>
      </c>
      <c r="W28" s="17">
        <v>0.0</v>
      </c>
      <c r="X28" s="17">
        <v>0.0</v>
      </c>
      <c r="Y28" s="17"/>
      <c r="Z28" s="20"/>
      <c r="AA28" s="17">
        <v>0.0</v>
      </c>
      <c r="AB28" s="17">
        <v>0.9998</v>
      </c>
      <c r="AC28" s="17">
        <v>0.0</v>
      </c>
      <c r="AD28" s="17">
        <v>0.0</v>
      </c>
      <c r="AE28" s="17">
        <v>1.0E-4</v>
      </c>
      <c r="AF28" s="17">
        <v>0.0</v>
      </c>
      <c r="AG28" s="17">
        <v>0.0</v>
      </c>
      <c r="AH28" s="17">
        <v>0.0</v>
      </c>
    </row>
    <row r="29">
      <c r="A29" s="8" t="s">
        <v>189</v>
      </c>
      <c r="B29" s="8" t="s">
        <v>190</v>
      </c>
      <c r="C29" s="8">
        <v>1.0</v>
      </c>
      <c r="D29" s="8" t="s">
        <v>36</v>
      </c>
      <c r="E29" s="8" t="s">
        <v>37</v>
      </c>
      <c r="F29" s="9">
        <v>42094.0</v>
      </c>
      <c r="G29" s="9">
        <v>42117.0</v>
      </c>
      <c r="H29" s="8">
        <v>2015.0</v>
      </c>
      <c r="I29" s="8" t="s">
        <v>191</v>
      </c>
      <c r="J29" s="8" t="s">
        <v>121</v>
      </c>
      <c r="K29" s="8" t="s">
        <v>122</v>
      </c>
      <c r="L29" s="8" t="s">
        <v>192</v>
      </c>
      <c r="M29" s="10" t="s">
        <v>193</v>
      </c>
      <c r="N29" s="11">
        <v>57589.0</v>
      </c>
      <c r="O29" s="12" t="s">
        <v>43</v>
      </c>
      <c r="P29" s="31">
        <v>2014.0</v>
      </c>
      <c r="Q29" s="18">
        <v>0.0025</v>
      </c>
      <c r="R29" s="17">
        <v>0.9973</v>
      </c>
      <c r="S29" s="17">
        <v>0.0</v>
      </c>
      <c r="T29" s="17">
        <v>1.0E-4</v>
      </c>
      <c r="U29" s="17">
        <v>1.0E-4</v>
      </c>
      <c r="V29" s="17">
        <v>0.0</v>
      </c>
      <c r="W29" s="17">
        <v>0.0</v>
      </c>
      <c r="X29" s="19">
        <v>0.0</v>
      </c>
      <c r="Y29" s="17"/>
      <c r="Z29" s="20"/>
      <c r="AA29" s="17">
        <v>0.0025</v>
      </c>
      <c r="AB29" s="17">
        <v>0.9973</v>
      </c>
      <c r="AC29" s="17">
        <v>0.0</v>
      </c>
      <c r="AD29" s="17">
        <v>1.0E-4</v>
      </c>
      <c r="AE29" s="17">
        <v>1.0E-4</v>
      </c>
      <c r="AF29" s="17">
        <v>0.0</v>
      </c>
      <c r="AG29" s="17">
        <v>0.0</v>
      </c>
      <c r="AH29" s="17">
        <v>0.0</v>
      </c>
    </row>
    <row r="30">
      <c r="A30" s="8" t="s">
        <v>194</v>
      </c>
      <c r="B30" s="8" t="s">
        <v>195</v>
      </c>
      <c r="C30" s="8">
        <v>1.0</v>
      </c>
      <c r="D30" s="8" t="s">
        <v>36</v>
      </c>
      <c r="E30" s="8" t="s">
        <v>37</v>
      </c>
      <c r="F30" s="9">
        <v>42311.0</v>
      </c>
      <c r="G30" s="9">
        <v>42327.0</v>
      </c>
      <c r="H30" s="8">
        <v>2015.0</v>
      </c>
      <c r="I30" s="8" t="s">
        <v>196</v>
      </c>
      <c r="J30" s="8" t="s">
        <v>109</v>
      </c>
      <c r="K30" s="8" t="s">
        <v>48</v>
      </c>
      <c r="L30" s="8" t="s">
        <v>197</v>
      </c>
      <c r="M30" s="10" t="s">
        <v>198</v>
      </c>
      <c r="N30" s="11">
        <v>140736.0</v>
      </c>
      <c r="O30" s="12" t="s">
        <v>43</v>
      </c>
      <c r="P30" s="31">
        <v>2014.0</v>
      </c>
      <c r="Q30" s="18">
        <v>0.0</v>
      </c>
      <c r="R30" s="17">
        <v>0.9998</v>
      </c>
      <c r="S30" s="17">
        <v>0.0</v>
      </c>
      <c r="T30" s="17">
        <v>0.0</v>
      </c>
      <c r="U30" s="17">
        <v>1.0E-4</v>
      </c>
      <c r="V30" s="17">
        <v>0.0</v>
      </c>
      <c r="W30" s="17">
        <v>0.0</v>
      </c>
      <c r="X30" s="19">
        <v>0.0</v>
      </c>
      <c r="Y30" s="17"/>
      <c r="Z30" s="20"/>
      <c r="AA30" s="17">
        <v>0.0</v>
      </c>
      <c r="AB30" s="17">
        <v>0.9998</v>
      </c>
      <c r="AC30" s="17">
        <v>0.0</v>
      </c>
      <c r="AD30" s="17">
        <v>0.0</v>
      </c>
      <c r="AE30" s="17">
        <v>1.0E-4</v>
      </c>
      <c r="AF30" s="17">
        <v>0.0</v>
      </c>
      <c r="AG30" s="17">
        <v>0.0</v>
      </c>
      <c r="AH30" s="17">
        <v>0.0</v>
      </c>
    </row>
    <row r="31">
      <c r="A31" s="8" t="s">
        <v>199</v>
      </c>
      <c r="B31" s="8" t="s">
        <v>200</v>
      </c>
      <c r="C31" s="8">
        <v>1.0</v>
      </c>
      <c r="D31" s="8" t="s">
        <v>36</v>
      </c>
      <c r="E31" s="8" t="s">
        <v>37</v>
      </c>
      <c r="F31" s="9">
        <v>42345.0</v>
      </c>
      <c r="G31" s="9">
        <v>42359.0</v>
      </c>
      <c r="H31" s="8">
        <v>2015.0</v>
      </c>
      <c r="I31" s="8" t="s">
        <v>201</v>
      </c>
      <c r="J31" s="8" t="s">
        <v>109</v>
      </c>
      <c r="K31" s="8" t="s">
        <v>48</v>
      </c>
      <c r="L31" s="8" t="s">
        <v>202</v>
      </c>
      <c r="M31" s="10" t="s">
        <v>203</v>
      </c>
      <c r="N31" s="11">
        <v>135017.0</v>
      </c>
      <c r="O31" s="12" t="s">
        <v>43</v>
      </c>
      <c r="P31" s="31">
        <v>2014.0</v>
      </c>
      <c r="Q31" s="18">
        <v>0.0</v>
      </c>
      <c r="R31" s="17">
        <v>0.9997</v>
      </c>
      <c r="S31" s="17">
        <v>0.0</v>
      </c>
      <c r="T31" s="17">
        <v>0.0</v>
      </c>
      <c r="U31" s="17">
        <v>2.0E-4</v>
      </c>
      <c r="V31" s="17">
        <v>0.0</v>
      </c>
      <c r="W31" s="17">
        <v>0.0</v>
      </c>
      <c r="X31" s="19">
        <v>0.0</v>
      </c>
      <c r="Y31" s="17"/>
      <c r="Z31" s="20"/>
      <c r="AA31" s="17">
        <v>0.0</v>
      </c>
      <c r="AB31" s="17">
        <v>0.9997</v>
      </c>
      <c r="AC31" s="17">
        <v>0.0</v>
      </c>
      <c r="AD31" s="17">
        <v>0.0</v>
      </c>
      <c r="AE31" s="17">
        <v>2.0E-4</v>
      </c>
      <c r="AF31" s="17">
        <v>0.0</v>
      </c>
      <c r="AG31" s="17">
        <v>0.0</v>
      </c>
      <c r="AH31" s="17">
        <v>0.0</v>
      </c>
    </row>
    <row r="32">
      <c r="A32" s="8" t="s">
        <v>204</v>
      </c>
      <c r="B32" s="8" t="s">
        <v>205</v>
      </c>
      <c r="C32" s="8">
        <v>1.0</v>
      </c>
      <c r="D32" s="8" t="s">
        <v>36</v>
      </c>
      <c r="E32" s="8" t="s">
        <v>37</v>
      </c>
      <c r="F32" s="9">
        <v>42266.0</v>
      </c>
      <c r="G32" s="9">
        <v>42275.0</v>
      </c>
      <c r="H32" s="8">
        <v>2015.0</v>
      </c>
      <c r="I32" s="8" t="s">
        <v>206</v>
      </c>
      <c r="J32" s="8" t="s">
        <v>121</v>
      </c>
      <c r="K32" s="8" t="s">
        <v>122</v>
      </c>
      <c r="L32" s="8" t="s">
        <v>207</v>
      </c>
      <c r="M32" s="10" t="s">
        <v>208</v>
      </c>
      <c r="N32" s="11">
        <v>39036.0</v>
      </c>
      <c r="O32" s="12" t="s">
        <v>43</v>
      </c>
      <c r="P32" s="31">
        <v>2014.0</v>
      </c>
      <c r="Q32" s="18">
        <v>0.0</v>
      </c>
      <c r="R32" s="17">
        <v>0.9983</v>
      </c>
      <c r="S32" s="17">
        <v>0.0</v>
      </c>
      <c r="T32" s="17">
        <v>0.0</v>
      </c>
      <c r="U32" s="17">
        <v>0.0017</v>
      </c>
      <c r="V32" s="17">
        <v>0.0</v>
      </c>
      <c r="W32" s="17">
        <v>0.0</v>
      </c>
      <c r="X32" s="19">
        <v>0.0</v>
      </c>
      <c r="Y32" s="17"/>
      <c r="Z32" s="20"/>
      <c r="AA32" s="17">
        <v>0.0</v>
      </c>
      <c r="AB32" s="17">
        <v>0.9983</v>
      </c>
      <c r="AC32" s="17">
        <v>0.0</v>
      </c>
      <c r="AD32" s="17">
        <v>0.0</v>
      </c>
      <c r="AE32" s="17">
        <v>0.0017</v>
      </c>
      <c r="AF32" s="17">
        <v>0.0</v>
      </c>
      <c r="AG32" s="17">
        <v>0.0</v>
      </c>
      <c r="AH32" s="17">
        <v>0.0</v>
      </c>
    </row>
    <row r="33">
      <c r="A33" s="8" t="s">
        <v>209</v>
      </c>
      <c r="B33" s="8" t="s">
        <v>210</v>
      </c>
      <c r="C33" s="8">
        <v>1.0</v>
      </c>
      <c r="D33" s="8" t="s">
        <v>36</v>
      </c>
      <c r="E33" s="8" t="s">
        <v>37</v>
      </c>
      <c r="F33" s="9">
        <v>42382.0</v>
      </c>
      <c r="G33" s="9">
        <v>42393.0</v>
      </c>
      <c r="H33" s="8">
        <v>2016.0</v>
      </c>
      <c r="I33" s="8" t="s">
        <v>211</v>
      </c>
      <c r="J33" s="8" t="s">
        <v>109</v>
      </c>
      <c r="K33" s="8" t="s">
        <v>122</v>
      </c>
      <c r="L33" s="8" t="s">
        <v>212</v>
      </c>
      <c r="M33" s="10" t="s">
        <v>213</v>
      </c>
      <c r="N33" s="11">
        <v>124882.0</v>
      </c>
      <c r="O33" s="12" t="s">
        <v>43</v>
      </c>
      <c r="P33" s="31">
        <v>2014.0</v>
      </c>
      <c r="Q33" s="18">
        <v>0.0</v>
      </c>
      <c r="R33" s="17">
        <v>0.9996</v>
      </c>
      <c r="S33" s="17">
        <v>0.0</v>
      </c>
      <c r="T33" s="17">
        <v>0.0</v>
      </c>
      <c r="U33" s="17">
        <v>1.0E-4</v>
      </c>
      <c r="V33" s="17">
        <v>2.0E-4</v>
      </c>
      <c r="W33" s="17">
        <v>0.0</v>
      </c>
      <c r="X33" s="19">
        <v>0.0</v>
      </c>
      <c r="Y33" s="17"/>
      <c r="Z33" s="20"/>
      <c r="AA33" s="17">
        <v>0.0</v>
      </c>
      <c r="AB33" s="17">
        <v>0.9995</v>
      </c>
      <c r="AC33" s="17">
        <v>0.0</v>
      </c>
      <c r="AD33" s="17">
        <v>0.0</v>
      </c>
      <c r="AE33" s="17">
        <v>2.0E-4</v>
      </c>
      <c r="AF33" s="17">
        <v>3.0E-4</v>
      </c>
      <c r="AG33" s="17">
        <v>0.0</v>
      </c>
      <c r="AH33" s="17">
        <v>0.0</v>
      </c>
    </row>
    <row r="34">
      <c r="A34" s="8" t="s">
        <v>214</v>
      </c>
      <c r="B34" s="8" t="s">
        <v>215</v>
      </c>
      <c r="C34" s="8">
        <v>1.0</v>
      </c>
      <c r="D34" s="8" t="s">
        <v>36</v>
      </c>
      <c r="E34" s="8" t="s">
        <v>37</v>
      </c>
      <c r="F34" s="9">
        <v>42367.0</v>
      </c>
      <c r="G34" s="9">
        <v>42381.0</v>
      </c>
      <c r="H34" s="8">
        <v>2016.0</v>
      </c>
      <c r="I34" s="8" t="s">
        <v>216</v>
      </c>
      <c r="J34" s="8" t="s">
        <v>121</v>
      </c>
      <c r="K34" s="8" t="s">
        <v>122</v>
      </c>
      <c r="L34" s="8" t="s">
        <v>217</v>
      </c>
      <c r="M34" s="10" t="s">
        <v>218</v>
      </c>
      <c r="N34" s="11">
        <v>116836.0</v>
      </c>
      <c r="O34" s="12" t="s">
        <v>43</v>
      </c>
      <c r="P34" s="31">
        <v>2014.0</v>
      </c>
      <c r="Q34" s="18">
        <v>1.0E-4</v>
      </c>
      <c r="R34" s="17">
        <v>0.9984</v>
      </c>
      <c r="S34" s="17">
        <v>0.0</v>
      </c>
      <c r="T34" s="17">
        <v>0.0</v>
      </c>
      <c r="U34" s="17">
        <v>0.0015</v>
      </c>
      <c r="V34" s="17">
        <v>0.0</v>
      </c>
      <c r="W34" s="17">
        <v>0.0</v>
      </c>
      <c r="X34" s="19">
        <v>0.0</v>
      </c>
      <c r="Y34" s="17"/>
      <c r="Z34" s="20"/>
      <c r="AA34" s="17">
        <v>1.0E-4</v>
      </c>
      <c r="AB34" s="17">
        <v>0.9984</v>
      </c>
      <c r="AC34" s="17">
        <v>0.0</v>
      </c>
      <c r="AD34" s="17">
        <v>0.0</v>
      </c>
      <c r="AE34" s="17">
        <v>0.0015</v>
      </c>
      <c r="AF34" s="17">
        <v>0.0</v>
      </c>
      <c r="AG34" s="17">
        <v>0.0</v>
      </c>
      <c r="AH34" s="17">
        <v>0.0</v>
      </c>
    </row>
    <row r="35">
      <c r="A35" s="8" t="s">
        <v>219</v>
      </c>
      <c r="B35" s="8" t="s">
        <v>220</v>
      </c>
      <c r="C35" s="8">
        <v>1.0</v>
      </c>
      <c r="D35" s="8" t="s">
        <v>36</v>
      </c>
      <c r="E35" s="8" t="s">
        <v>37</v>
      </c>
      <c r="F35" s="9">
        <v>42328.0</v>
      </c>
      <c r="G35" s="9">
        <v>42332.0</v>
      </c>
      <c r="H35" s="8">
        <v>2015.0</v>
      </c>
      <c r="I35" s="8" t="s">
        <v>221</v>
      </c>
      <c r="J35" s="8" t="s">
        <v>109</v>
      </c>
      <c r="K35" s="8" t="s">
        <v>48</v>
      </c>
      <c r="L35" s="8" t="s">
        <v>222</v>
      </c>
      <c r="M35" s="10" t="s">
        <v>223</v>
      </c>
      <c r="N35" s="11">
        <v>45663.0</v>
      </c>
      <c r="O35" s="12" t="s">
        <v>43</v>
      </c>
      <c r="P35" s="31">
        <v>2014.0</v>
      </c>
      <c r="Q35" s="18">
        <v>0.9638</v>
      </c>
      <c r="R35" s="17">
        <v>0.0075</v>
      </c>
      <c r="S35" s="17">
        <v>0.0</v>
      </c>
      <c r="T35" s="17">
        <v>0.0287</v>
      </c>
      <c r="U35" s="17">
        <v>0.0</v>
      </c>
      <c r="V35" s="17">
        <v>0.0</v>
      </c>
      <c r="W35" s="17">
        <v>0.0</v>
      </c>
      <c r="X35" s="19">
        <v>0.0</v>
      </c>
      <c r="Y35" s="17"/>
      <c r="Z35" s="20"/>
      <c r="AA35" s="17">
        <v>0.964</v>
      </c>
      <c r="AB35" s="17">
        <v>0.0076</v>
      </c>
      <c r="AC35" s="17">
        <v>0.0</v>
      </c>
      <c r="AD35" s="17">
        <v>0.0283</v>
      </c>
      <c r="AE35" s="17">
        <v>0.0</v>
      </c>
      <c r="AF35" s="17">
        <v>0.0</v>
      </c>
      <c r="AG35" s="17">
        <v>0.0</v>
      </c>
      <c r="AH35" s="17">
        <v>0.0</v>
      </c>
    </row>
    <row r="36">
      <c r="A36" s="8" t="s">
        <v>224</v>
      </c>
      <c r="B36" s="8" t="s">
        <v>225</v>
      </c>
      <c r="C36" s="8">
        <v>1.0</v>
      </c>
      <c r="D36" s="8" t="s">
        <v>36</v>
      </c>
      <c r="E36" s="8" t="s">
        <v>37</v>
      </c>
      <c r="F36" s="9">
        <v>42466.0</v>
      </c>
      <c r="G36" s="9">
        <v>42473.0</v>
      </c>
      <c r="H36" s="8">
        <v>2016.0</v>
      </c>
      <c r="I36" s="8" t="s">
        <v>226</v>
      </c>
      <c r="J36" s="8" t="s">
        <v>109</v>
      </c>
      <c r="K36" s="8" t="s">
        <v>122</v>
      </c>
      <c r="L36" s="8" t="s">
        <v>227</v>
      </c>
      <c r="M36" s="10" t="s">
        <v>228</v>
      </c>
      <c r="N36" s="11">
        <v>107264.0</v>
      </c>
      <c r="O36" s="12" t="s">
        <v>43</v>
      </c>
      <c r="P36" s="31">
        <v>2014.0</v>
      </c>
      <c r="Q36" s="18">
        <v>2.0E-4</v>
      </c>
      <c r="R36" s="17">
        <v>0.96</v>
      </c>
      <c r="S36" s="17">
        <v>0.0</v>
      </c>
      <c r="T36" s="17">
        <v>0.0</v>
      </c>
      <c r="U36" s="17">
        <v>0.0335</v>
      </c>
      <c r="V36" s="17">
        <v>0.0063</v>
      </c>
      <c r="W36" s="17">
        <v>0.0</v>
      </c>
      <c r="X36" s="19">
        <v>0.0</v>
      </c>
      <c r="Y36" s="17"/>
      <c r="Z36" s="20"/>
      <c r="AA36" s="17">
        <v>2.0E-4</v>
      </c>
      <c r="AB36" s="17">
        <v>0.9578</v>
      </c>
      <c r="AC36" s="17">
        <v>0.0</v>
      </c>
      <c r="AD36" s="17">
        <v>0.0</v>
      </c>
      <c r="AE36" s="17">
        <v>0.0341</v>
      </c>
      <c r="AF36" s="17">
        <v>0.0079</v>
      </c>
      <c r="AG36" s="17">
        <v>0.0</v>
      </c>
      <c r="AH36" s="17">
        <v>0.0</v>
      </c>
    </row>
    <row r="37">
      <c r="A37" s="8" t="s">
        <v>229</v>
      </c>
      <c r="B37" s="8" t="s">
        <v>230</v>
      </c>
      <c r="C37" s="8">
        <v>1.0</v>
      </c>
      <c r="D37" s="8" t="s">
        <v>36</v>
      </c>
      <c r="E37" s="8" t="s">
        <v>37</v>
      </c>
      <c r="F37" s="9">
        <v>42418.0</v>
      </c>
      <c r="G37" s="9">
        <v>42425.0</v>
      </c>
      <c r="H37" s="8">
        <v>2016.0</v>
      </c>
      <c r="I37" s="8" t="s">
        <v>231</v>
      </c>
      <c r="J37" s="8" t="s">
        <v>109</v>
      </c>
      <c r="K37" s="8" t="s">
        <v>122</v>
      </c>
      <c r="L37" s="8" t="s">
        <v>232</v>
      </c>
      <c r="M37" s="10" t="s">
        <v>233</v>
      </c>
      <c r="N37" s="11">
        <v>140871.0</v>
      </c>
      <c r="O37" s="12" t="s">
        <v>43</v>
      </c>
      <c r="P37" s="31">
        <v>2014.0</v>
      </c>
      <c r="Q37" s="18">
        <v>0.0</v>
      </c>
      <c r="R37" s="17">
        <v>0.9999</v>
      </c>
      <c r="S37" s="17">
        <v>0.0</v>
      </c>
      <c r="T37" s="17">
        <v>0.0</v>
      </c>
      <c r="U37" s="17">
        <v>0.0</v>
      </c>
      <c r="V37" s="17">
        <v>0.0</v>
      </c>
      <c r="W37" s="17">
        <v>0.0</v>
      </c>
      <c r="X37" s="19">
        <v>0.0</v>
      </c>
      <c r="Y37" s="17"/>
      <c r="Z37" s="20"/>
      <c r="AA37" s="17">
        <v>0.0</v>
      </c>
      <c r="AB37" s="17">
        <v>0.9999</v>
      </c>
      <c r="AC37" s="17">
        <v>0.0</v>
      </c>
      <c r="AD37" s="17">
        <v>0.0</v>
      </c>
      <c r="AE37" s="17">
        <v>0.0</v>
      </c>
      <c r="AF37" s="17">
        <v>0.0</v>
      </c>
      <c r="AG37" s="17">
        <v>0.0</v>
      </c>
      <c r="AH37" s="17">
        <v>0.0</v>
      </c>
    </row>
    <row r="38">
      <c r="A38" s="8" t="s">
        <v>234</v>
      </c>
      <c r="B38" s="8" t="s">
        <v>235</v>
      </c>
      <c r="C38" s="8">
        <v>1.0</v>
      </c>
      <c r="D38" s="8" t="s">
        <v>36</v>
      </c>
      <c r="E38" s="8" t="s">
        <v>37</v>
      </c>
      <c r="F38" s="9">
        <v>42478.0</v>
      </c>
      <c r="G38" s="9">
        <v>42496.0</v>
      </c>
      <c r="H38" s="8">
        <v>2016.0</v>
      </c>
      <c r="I38" s="8" t="s">
        <v>236</v>
      </c>
      <c r="J38" s="8" t="s">
        <v>121</v>
      </c>
      <c r="K38" s="8" t="s">
        <v>122</v>
      </c>
      <c r="L38" s="8" t="s">
        <v>237</v>
      </c>
      <c r="M38" s="10" t="s">
        <v>238</v>
      </c>
      <c r="N38" s="11">
        <v>111977.0</v>
      </c>
      <c r="O38" s="12" t="s">
        <v>43</v>
      </c>
      <c r="P38" s="31">
        <v>2014.0</v>
      </c>
      <c r="Q38" s="18">
        <v>0.0</v>
      </c>
      <c r="R38" s="17">
        <v>0.9998</v>
      </c>
      <c r="S38" s="17">
        <v>0.0</v>
      </c>
      <c r="T38" s="17">
        <v>0.0</v>
      </c>
      <c r="U38" s="17">
        <v>1.0E-4</v>
      </c>
      <c r="V38" s="17">
        <v>1.0E-4</v>
      </c>
      <c r="W38" s="17">
        <v>0.0</v>
      </c>
      <c r="X38" s="19">
        <v>0.0</v>
      </c>
      <c r="Y38" s="17"/>
      <c r="Z38" s="20"/>
      <c r="AA38" s="17">
        <v>0.0</v>
      </c>
      <c r="AB38" s="17">
        <v>0.9998</v>
      </c>
      <c r="AC38" s="17">
        <v>0.0</v>
      </c>
      <c r="AD38" s="17">
        <v>0.0</v>
      </c>
      <c r="AE38" s="17">
        <v>1.0E-4</v>
      </c>
      <c r="AF38" s="17">
        <v>1.0E-4</v>
      </c>
      <c r="AG38" s="17">
        <v>0.0</v>
      </c>
      <c r="AH38" s="17">
        <v>0.0</v>
      </c>
    </row>
    <row r="39">
      <c r="A39" s="8" t="s">
        <v>239</v>
      </c>
      <c r="B39" s="8" t="s">
        <v>240</v>
      </c>
      <c r="C39" s="8">
        <v>1.0</v>
      </c>
      <c r="D39" s="8" t="s">
        <v>36</v>
      </c>
      <c r="E39" s="8" t="s">
        <v>37</v>
      </c>
      <c r="F39" s="9">
        <v>42583.0</v>
      </c>
      <c r="G39" s="9">
        <v>42594.0</v>
      </c>
      <c r="H39" s="8">
        <v>2016.0</v>
      </c>
      <c r="I39" s="8" t="s">
        <v>241</v>
      </c>
      <c r="J39" s="8" t="s">
        <v>109</v>
      </c>
      <c r="K39" s="8" t="s">
        <v>122</v>
      </c>
      <c r="L39" s="8" t="s">
        <v>242</v>
      </c>
      <c r="M39" s="10" t="s">
        <v>243</v>
      </c>
      <c r="N39" s="11">
        <v>86839.0</v>
      </c>
      <c r="O39" s="12" t="s">
        <v>43</v>
      </c>
      <c r="P39" s="31">
        <v>2014.0</v>
      </c>
      <c r="Q39" s="18">
        <v>0.003</v>
      </c>
      <c r="R39" s="17">
        <v>0.9772</v>
      </c>
      <c r="S39" s="17">
        <v>0.0</v>
      </c>
      <c r="T39" s="17">
        <v>0.0</v>
      </c>
      <c r="U39" s="17">
        <v>0.0198</v>
      </c>
      <c r="V39" s="17">
        <v>0.0</v>
      </c>
      <c r="W39" s="17">
        <v>0.0</v>
      </c>
      <c r="X39" s="19">
        <v>0.0</v>
      </c>
      <c r="Y39" s="17"/>
      <c r="Z39" s="20"/>
      <c r="AA39" s="17">
        <v>0.0029</v>
      </c>
      <c r="AB39" s="17">
        <v>0.9768</v>
      </c>
      <c r="AC39" s="17">
        <v>1.0E-4</v>
      </c>
      <c r="AD39" s="17">
        <v>0.0</v>
      </c>
      <c r="AE39" s="17">
        <v>0.0202</v>
      </c>
      <c r="AF39" s="17">
        <v>0.0</v>
      </c>
      <c r="AG39" s="17">
        <v>0.0</v>
      </c>
      <c r="AH39" s="17">
        <v>0.0</v>
      </c>
    </row>
    <row r="40">
      <c r="A40" s="8" t="s">
        <v>244</v>
      </c>
      <c r="B40" s="8" t="s">
        <v>245</v>
      </c>
      <c r="C40" s="8">
        <v>1.0</v>
      </c>
      <c r="D40" s="8" t="s">
        <v>36</v>
      </c>
      <c r="E40" s="8" t="s">
        <v>37</v>
      </c>
      <c r="F40" s="9">
        <v>42601.0</v>
      </c>
      <c r="G40" s="9">
        <v>42617.0</v>
      </c>
      <c r="H40" s="8">
        <v>2016.0</v>
      </c>
      <c r="I40" s="8" t="s">
        <v>246</v>
      </c>
      <c r="J40" s="8" t="s">
        <v>109</v>
      </c>
      <c r="K40" s="8" t="s">
        <v>122</v>
      </c>
      <c r="L40" s="8" t="s">
        <v>247</v>
      </c>
      <c r="M40" s="10" t="s">
        <v>248</v>
      </c>
      <c r="N40" s="11">
        <v>104897.0</v>
      </c>
      <c r="O40" s="12" t="s">
        <v>43</v>
      </c>
      <c r="P40" s="31">
        <v>2014.0</v>
      </c>
      <c r="Q40" s="18">
        <v>6.0E-4</v>
      </c>
      <c r="R40" s="17">
        <v>0.9941</v>
      </c>
      <c r="S40" s="17">
        <v>0.0</v>
      </c>
      <c r="T40" s="17">
        <v>0.0</v>
      </c>
      <c r="U40" s="17">
        <v>0.0028</v>
      </c>
      <c r="V40" s="17">
        <v>0.0024</v>
      </c>
      <c r="W40" s="17">
        <v>0.0</v>
      </c>
      <c r="X40" s="19">
        <v>0.0</v>
      </c>
      <c r="Y40" s="17"/>
      <c r="Z40" s="20"/>
      <c r="AA40" s="30">
        <f t="shared" ref="AA40:AH40" si="2">(AA20*($C35/$C20))/$C35</f>
        <v>0.9675</v>
      </c>
      <c r="AB40" s="30">
        <f t="shared" si="2"/>
        <v>0.001</v>
      </c>
      <c r="AC40" s="30">
        <f t="shared" si="2"/>
        <v>0</v>
      </c>
      <c r="AD40" s="30">
        <f t="shared" si="2"/>
        <v>0.0315</v>
      </c>
      <c r="AE40" s="30">
        <f t="shared" si="2"/>
        <v>0</v>
      </c>
      <c r="AF40" s="30">
        <f t="shared" si="2"/>
        <v>0</v>
      </c>
      <c r="AG40" s="30">
        <f t="shared" si="2"/>
        <v>0</v>
      </c>
      <c r="AH40" s="30">
        <f t="shared" si="2"/>
        <v>0</v>
      </c>
    </row>
    <row r="41">
      <c r="A41" s="32" t="s">
        <v>249</v>
      </c>
      <c r="B41" s="32" t="s">
        <v>250</v>
      </c>
      <c r="C41" s="32">
        <v>1.0</v>
      </c>
      <c r="D41" s="32" t="s">
        <v>36</v>
      </c>
      <c r="E41" s="32" t="s">
        <v>37</v>
      </c>
      <c r="F41" s="33">
        <v>42559.0</v>
      </c>
      <c r="G41" s="33">
        <v>42582.0</v>
      </c>
      <c r="H41" s="32">
        <v>2016.0</v>
      </c>
      <c r="I41" s="32" t="s">
        <v>251</v>
      </c>
      <c r="J41" s="32" t="s">
        <v>121</v>
      </c>
      <c r="K41" s="32" t="s">
        <v>60</v>
      </c>
      <c r="L41" s="32" t="s">
        <v>252</v>
      </c>
      <c r="M41" s="34" t="s">
        <v>253</v>
      </c>
      <c r="N41" s="35">
        <v>93298.0</v>
      </c>
      <c r="O41" s="36" t="s">
        <v>43</v>
      </c>
      <c r="P41" s="37">
        <v>2014.0</v>
      </c>
      <c r="Q41" s="38">
        <v>0.003</v>
      </c>
      <c r="R41" s="39">
        <v>0.9895</v>
      </c>
      <c r="S41" s="39">
        <v>0.0</v>
      </c>
      <c r="T41" s="39">
        <v>1.0E-4</v>
      </c>
      <c r="U41" s="39">
        <v>0.0071</v>
      </c>
      <c r="V41" s="39">
        <v>2.0E-4</v>
      </c>
      <c r="W41" s="39">
        <v>0.0</v>
      </c>
      <c r="X41" s="40">
        <v>0.0</v>
      </c>
      <c r="Y41" s="39"/>
      <c r="Z41" s="41"/>
      <c r="AA41" s="39">
        <v>0.003</v>
      </c>
      <c r="AB41" s="39">
        <v>0.9893</v>
      </c>
      <c r="AC41" s="39">
        <v>0.0</v>
      </c>
      <c r="AD41" s="39">
        <v>1.0E-4</v>
      </c>
      <c r="AE41" s="39">
        <v>0.0072</v>
      </c>
      <c r="AF41" s="39">
        <v>3.0E-4</v>
      </c>
      <c r="AG41" s="39">
        <v>0.0</v>
      </c>
      <c r="AH41" s="39">
        <v>0.0</v>
      </c>
    </row>
    <row r="42">
      <c r="A42" s="8" t="s">
        <v>254</v>
      </c>
      <c r="B42" s="8" t="s">
        <v>255</v>
      </c>
      <c r="C42" s="8">
        <v>1.0</v>
      </c>
      <c r="D42" s="8" t="s">
        <v>36</v>
      </c>
      <c r="E42" s="8" t="s">
        <v>37</v>
      </c>
      <c r="F42" s="9">
        <v>42592.0</v>
      </c>
      <c r="G42" s="9">
        <v>42595.0</v>
      </c>
      <c r="H42" s="8">
        <v>2016.0</v>
      </c>
      <c r="I42" s="8" t="s">
        <v>256</v>
      </c>
      <c r="J42" s="8" t="s">
        <v>47</v>
      </c>
      <c r="K42" s="8" t="s">
        <v>122</v>
      </c>
      <c r="L42" s="8" t="s">
        <v>257</v>
      </c>
      <c r="M42" s="10" t="s">
        <v>258</v>
      </c>
      <c r="N42" s="11">
        <v>116741.0</v>
      </c>
      <c r="O42" s="12" t="s">
        <v>43</v>
      </c>
      <c r="P42" s="31">
        <v>2014.0</v>
      </c>
      <c r="Q42" s="18">
        <v>0.0</v>
      </c>
      <c r="R42" s="17">
        <v>0.9999</v>
      </c>
      <c r="S42" s="17">
        <v>0.0</v>
      </c>
      <c r="T42" s="17">
        <v>0.0</v>
      </c>
      <c r="U42" s="17">
        <v>0.0</v>
      </c>
      <c r="V42" s="17">
        <v>0.0</v>
      </c>
      <c r="W42" s="17">
        <v>0.0</v>
      </c>
      <c r="X42" s="19">
        <v>0.0</v>
      </c>
      <c r="Y42" s="17"/>
      <c r="Z42" s="20"/>
      <c r="AA42" s="17">
        <v>0.0</v>
      </c>
      <c r="AB42" s="17">
        <v>0.9999</v>
      </c>
      <c r="AC42" s="17">
        <v>0.0</v>
      </c>
      <c r="AD42" s="17">
        <v>0.0</v>
      </c>
      <c r="AE42" s="17">
        <v>0.0</v>
      </c>
      <c r="AF42" s="17">
        <v>0.0</v>
      </c>
      <c r="AG42" s="17">
        <v>0.0</v>
      </c>
      <c r="AH42" s="17">
        <v>0.0</v>
      </c>
    </row>
    <row r="43">
      <c r="A43" s="8" t="s">
        <v>259</v>
      </c>
      <c r="B43" s="8" t="s">
        <v>260</v>
      </c>
      <c r="C43" s="8">
        <v>1.0</v>
      </c>
      <c r="D43" s="8" t="s">
        <v>36</v>
      </c>
      <c r="E43" s="8" t="s">
        <v>37</v>
      </c>
      <c r="F43" s="9">
        <v>42636.0</v>
      </c>
      <c r="G43" s="9">
        <v>42641.0</v>
      </c>
      <c r="H43" s="8">
        <v>2016.0</v>
      </c>
      <c r="I43" s="8" t="s">
        <v>261</v>
      </c>
      <c r="J43" s="8" t="s">
        <v>109</v>
      </c>
      <c r="K43" s="8" t="s">
        <v>48</v>
      </c>
      <c r="L43" s="8" t="s">
        <v>262</v>
      </c>
      <c r="M43" s="10" t="s">
        <v>263</v>
      </c>
      <c r="N43" s="11">
        <v>28562.0</v>
      </c>
      <c r="O43" s="12" t="s">
        <v>43</v>
      </c>
      <c r="P43" s="8">
        <v>2014.0</v>
      </c>
      <c r="Q43" s="18">
        <v>0.9933</v>
      </c>
      <c r="R43" s="17">
        <v>5.0E-4</v>
      </c>
      <c r="S43" s="17">
        <v>0.0</v>
      </c>
      <c r="T43" s="17">
        <v>0.0062</v>
      </c>
      <c r="U43" s="17">
        <v>0.0</v>
      </c>
      <c r="V43" s="17">
        <v>0.0</v>
      </c>
      <c r="W43" s="17">
        <v>0.0</v>
      </c>
      <c r="X43" s="19">
        <v>0.0</v>
      </c>
      <c r="Y43" s="17"/>
      <c r="Z43" s="20"/>
      <c r="AA43" s="17">
        <v>0.9933</v>
      </c>
      <c r="AB43" s="17">
        <v>5.0E-4</v>
      </c>
      <c r="AC43" s="17">
        <v>0.0</v>
      </c>
      <c r="AD43" s="17">
        <v>0.0062</v>
      </c>
      <c r="AE43" s="17">
        <v>0.0</v>
      </c>
      <c r="AF43" s="17">
        <v>0.0</v>
      </c>
      <c r="AG43" s="17">
        <v>0.0</v>
      </c>
      <c r="AH43" s="17">
        <v>0.0</v>
      </c>
    </row>
    <row r="44">
      <c r="A44" s="8" t="s">
        <v>264</v>
      </c>
      <c r="B44" s="8" t="s">
        <v>265</v>
      </c>
      <c r="C44" s="8">
        <v>1.0</v>
      </c>
      <c r="D44" s="8" t="s">
        <v>36</v>
      </c>
      <c r="E44" s="8" t="s">
        <v>37</v>
      </c>
      <c r="F44" s="9">
        <v>42669.0</v>
      </c>
      <c r="G44" s="9">
        <v>42675.0</v>
      </c>
      <c r="H44" s="8">
        <v>2016.0</v>
      </c>
      <c r="I44" s="8" t="s">
        <v>266</v>
      </c>
      <c r="J44" s="8" t="s">
        <v>109</v>
      </c>
      <c r="K44" s="8" t="s">
        <v>48</v>
      </c>
      <c r="L44" s="8" t="s">
        <v>267</v>
      </c>
      <c r="M44" s="10" t="s">
        <v>268</v>
      </c>
      <c r="N44" s="11">
        <v>68637.0</v>
      </c>
      <c r="O44" s="12" t="s">
        <v>43</v>
      </c>
      <c r="P44" s="8">
        <v>2014.0</v>
      </c>
      <c r="Q44" s="18">
        <v>0.3579</v>
      </c>
      <c r="R44" s="17">
        <v>9.0E-4</v>
      </c>
      <c r="S44" s="17">
        <v>0.0</v>
      </c>
      <c r="T44" s="17">
        <v>0.0018</v>
      </c>
      <c r="U44" s="17">
        <v>0.6394</v>
      </c>
      <c r="V44" s="17">
        <v>0.0</v>
      </c>
      <c r="W44" s="17">
        <v>0.0</v>
      </c>
      <c r="X44" s="19">
        <v>0.0</v>
      </c>
      <c r="Y44" s="17"/>
      <c r="Z44" s="20"/>
      <c r="AA44" s="17">
        <v>0.3503</v>
      </c>
      <c r="AB44" s="17">
        <v>9.0E-4</v>
      </c>
      <c r="AC44" s="17">
        <v>0.0</v>
      </c>
      <c r="AD44" s="17">
        <v>0.0017</v>
      </c>
      <c r="AE44" s="17">
        <v>0.647</v>
      </c>
      <c r="AF44" s="17">
        <v>0.0</v>
      </c>
      <c r="AG44" s="17">
        <v>0.0</v>
      </c>
      <c r="AH44" s="17">
        <v>0.0</v>
      </c>
    </row>
    <row r="45">
      <c r="A45" s="8" t="s">
        <v>269</v>
      </c>
      <c r="B45" s="8" t="s">
        <v>270</v>
      </c>
      <c r="C45" s="8">
        <v>1.0</v>
      </c>
      <c r="D45" s="8" t="s">
        <v>36</v>
      </c>
      <c r="E45" s="8" t="s">
        <v>37</v>
      </c>
      <c r="F45" s="9">
        <v>42628.0</v>
      </c>
      <c r="G45" s="9">
        <v>42634.0</v>
      </c>
      <c r="H45" s="8">
        <v>2016.0</v>
      </c>
      <c r="I45" s="8" t="s">
        <v>271</v>
      </c>
      <c r="J45" s="8" t="s">
        <v>47</v>
      </c>
      <c r="K45" s="8" t="s">
        <v>122</v>
      </c>
      <c r="L45" s="8" t="s">
        <v>272</v>
      </c>
      <c r="M45" s="10" t="s">
        <v>273</v>
      </c>
      <c r="N45" s="11">
        <v>103357.0</v>
      </c>
      <c r="O45" s="12" t="s">
        <v>43</v>
      </c>
      <c r="P45" s="8">
        <v>2014.0</v>
      </c>
      <c r="Q45" s="18">
        <v>0.0</v>
      </c>
      <c r="R45" s="17">
        <v>0.99</v>
      </c>
      <c r="S45" s="17">
        <v>0.0</v>
      </c>
      <c r="T45" s="17">
        <v>0.0</v>
      </c>
      <c r="U45" s="17">
        <v>0.01</v>
      </c>
      <c r="V45" s="17">
        <v>0.0</v>
      </c>
      <c r="W45" s="17">
        <v>0.0</v>
      </c>
      <c r="X45" s="19">
        <v>0.0</v>
      </c>
      <c r="Y45" s="17"/>
      <c r="Z45" s="20"/>
      <c r="AA45" s="17">
        <v>0.0</v>
      </c>
      <c r="AB45" s="17">
        <v>0.9898</v>
      </c>
      <c r="AC45" s="17">
        <v>0.0</v>
      </c>
      <c r="AD45" s="17">
        <v>0.0</v>
      </c>
      <c r="AE45" s="17">
        <v>0.0102</v>
      </c>
      <c r="AF45" s="17">
        <v>0.0</v>
      </c>
      <c r="AG45" s="17">
        <v>0.0</v>
      </c>
      <c r="AH45" s="17">
        <v>0.0</v>
      </c>
    </row>
    <row r="46">
      <c r="A46" s="8" t="s">
        <v>274</v>
      </c>
      <c r="B46" s="8" t="s">
        <v>275</v>
      </c>
      <c r="C46" s="8">
        <v>1.0</v>
      </c>
      <c r="D46" s="8" t="s">
        <v>36</v>
      </c>
      <c r="E46" s="8" t="s">
        <v>37</v>
      </c>
      <c r="F46" s="9">
        <v>42706.0</v>
      </c>
      <c r="G46" s="9">
        <v>42732.0</v>
      </c>
      <c r="H46" s="8">
        <v>2016.0</v>
      </c>
      <c r="I46" s="8" t="s">
        <v>276</v>
      </c>
      <c r="J46" s="8" t="s">
        <v>109</v>
      </c>
      <c r="K46" s="8" t="s">
        <v>48</v>
      </c>
      <c r="L46" s="8" t="s">
        <v>277</v>
      </c>
      <c r="M46" s="10" t="s">
        <v>278</v>
      </c>
      <c r="N46" s="11">
        <v>110720.0</v>
      </c>
      <c r="O46" s="12" t="s">
        <v>43</v>
      </c>
      <c r="P46" s="8">
        <v>2014.0</v>
      </c>
      <c r="Q46" s="18">
        <v>0.4326</v>
      </c>
      <c r="R46" s="17">
        <v>0.5313</v>
      </c>
      <c r="S46" s="17">
        <v>0.0</v>
      </c>
      <c r="T46" s="17">
        <v>0.0163</v>
      </c>
      <c r="U46" s="17">
        <v>0.0197</v>
      </c>
      <c r="V46" s="17">
        <v>2.0E-4</v>
      </c>
      <c r="W46" s="17">
        <v>0.0</v>
      </c>
      <c r="X46" s="19">
        <v>0.0</v>
      </c>
      <c r="Y46" s="17"/>
      <c r="Z46" s="20"/>
      <c r="AA46" s="17">
        <v>0.4294</v>
      </c>
      <c r="AB46" s="17">
        <v>0.5343</v>
      </c>
      <c r="AC46" s="17">
        <v>0.0</v>
      </c>
      <c r="AD46" s="17">
        <v>0.016</v>
      </c>
      <c r="AE46" s="17">
        <v>0.0202</v>
      </c>
      <c r="AF46" s="17">
        <v>2.0E-4</v>
      </c>
      <c r="AG46" s="17">
        <v>0.0</v>
      </c>
      <c r="AH46" s="17">
        <v>0.0</v>
      </c>
    </row>
    <row r="47">
      <c r="A47" s="8" t="s">
        <v>279</v>
      </c>
      <c r="B47" s="8" t="s">
        <v>280</v>
      </c>
      <c r="C47" s="8">
        <v>1.0</v>
      </c>
      <c r="D47" s="8" t="s">
        <v>36</v>
      </c>
      <c r="E47" s="8" t="s">
        <v>37</v>
      </c>
      <c r="F47" s="9">
        <v>42741.0</v>
      </c>
      <c r="G47" s="9">
        <v>42766.0</v>
      </c>
      <c r="H47" s="8">
        <v>2017.0</v>
      </c>
      <c r="I47" s="8" t="s">
        <v>281</v>
      </c>
      <c r="J47" s="8" t="s">
        <v>109</v>
      </c>
      <c r="K47" s="8" t="s">
        <v>48</v>
      </c>
      <c r="L47" s="8" t="s">
        <v>282</v>
      </c>
      <c r="M47" s="10" t="s">
        <v>283</v>
      </c>
      <c r="N47" s="11">
        <v>84131.0</v>
      </c>
      <c r="O47" s="12" t="s">
        <v>43</v>
      </c>
      <c r="P47" s="8">
        <v>2014.0</v>
      </c>
      <c r="Q47" s="18">
        <v>0.3455</v>
      </c>
      <c r="R47" s="17">
        <v>0.5983</v>
      </c>
      <c r="S47" s="17">
        <v>0.0</v>
      </c>
      <c r="T47" s="17">
        <v>0.045</v>
      </c>
      <c r="U47" s="17">
        <v>0.0112</v>
      </c>
      <c r="V47" s="17">
        <v>0.0</v>
      </c>
      <c r="W47" s="17">
        <v>0.0</v>
      </c>
      <c r="X47" s="19">
        <v>0.0</v>
      </c>
      <c r="Y47" s="17"/>
      <c r="Z47" s="20"/>
      <c r="AA47" s="17">
        <v>0.3429</v>
      </c>
      <c r="AB47" s="17">
        <v>0.6016</v>
      </c>
      <c r="AC47" s="17">
        <v>0.0</v>
      </c>
      <c r="AD47" s="17">
        <v>0.044</v>
      </c>
      <c r="AE47" s="17">
        <v>0.0115</v>
      </c>
      <c r="AF47" s="17">
        <v>0.0</v>
      </c>
      <c r="AG47" s="17">
        <v>0.0</v>
      </c>
      <c r="AH47" s="17">
        <v>0.0</v>
      </c>
    </row>
    <row r="48">
      <c r="A48" s="8" t="s">
        <v>284</v>
      </c>
      <c r="B48" s="8" t="s">
        <v>285</v>
      </c>
      <c r="C48" s="8">
        <v>1.0</v>
      </c>
      <c r="D48" s="8" t="s">
        <v>36</v>
      </c>
      <c r="E48" s="8" t="s">
        <v>37</v>
      </c>
      <c r="F48" s="9">
        <v>42832.0</v>
      </c>
      <c r="G48" s="9">
        <v>42837.0</v>
      </c>
      <c r="H48" s="8">
        <v>2017.0</v>
      </c>
      <c r="I48" s="8" t="s">
        <v>286</v>
      </c>
      <c r="J48" s="8" t="s">
        <v>109</v>
      </c>
      <c r="K48" s="8" t="s">
        <v>48</v>
      </c>
      <c r="L48" s="8" t="s">
        <v>287</v>
      </c>
      <c r="M48" s="10" t="s">
        <v>288</v>
      </c>
      <c r="N48" s="11">
        <v>60749.0</v>
      </c>
      <c r="O48" s="12" t="s">
        <v>43</v>
      </c>
      <c r="P48" s="8">
        <v>2014.0</v>
      </c>
      <c r="Q48" s="18">
        <v>0.9738</v>
      </c>
      <c r="R48" s="17">
        <v>2.0E-4</v>
      </c>
      <c r="S48" s="17">
        <v>0.0</v>
      </c>
      <c r="T48" s="17">
        <v>0.0254</v>
      </c>
      <c r="U48" s="17">
        <v>5.0E-4</v>
      </c>
      <c r="V48" s="17">
        <v>0.0</v>
      </c>
      <c r="W48" s="17">
        <v>0.0</v>
      </c>
      <c r="X48" s="19">
        <v>0.0</v>
      </c>
      <c r="Y48" s="17"/>
      <c r="Z48" s="20"/>
      <c r="AA48" s="30">
        <f t="shared" ref="AA48:AH48" si="3">(AA28*($C43/$C28))/$C43</f>
        <v>0</v>
      </c>
      <c r="AB48" s="30">
        <f t="shared" si="3"/>
        <v>0.9998</v>
      </c>
      <c r="AC48" s="30">
        <f t="shared" si="3"/>
        <v>0</v>
      </c>
      <c r="AD48" s="30">
        <f t="shared" si="3"/>
        <v>0</v>
      </c>
      <c r="AE48" s="30">
        <f t="shared" si="3"/>
        <v>0.0001</v>
      </c>
      <c r="AF48" s="30">
        <f t="shared" si="3"/>
        <v>0</v>
      </c>
      <c r="AG48" s="30">
        <f t="shared" si="3"/>
        <v>0</v>
      </c>
      <c r="AH48" s="30">
        <f t="shared" si="3"/>
        <v>0</v>
      </c>
    </row>
    <row r="49">
      <c r="A49" s="8" t="s">
        <v>289</v>
      </c>
      <c r="B49" s="8" t="s">
        <v>290</v>
      </c>
      <c r="C49" s="8">
        <v>1.0</v>
      </c>
      <c r="D49" s="8" t="s">
        <v>36</v>
      </c>
      <c r="E49" s="8" t="s">
        <v>37</v>
      </c>
      <c r="F49" s="9">
        <v>42689.0</v>
      </c>
      <c r="G49" s="9">
        <v>42698.0</v>
      </c>
      <c r="H49" s="8">
        <v>2016.0</v>
      </c>
      <c r="I49" s="8" t="s">
        <v>291</v>
      </c>
      <c r="J49" s="8" t="s">
        <v>47</v>
      </c>
      <c r="K49" s="8" t="s">
        <v>122</v>
      </c>
      <c r="L49" s="8" t="s">
        <v>292</v>
      </c>
      <c r="M49" s="10" t="s">
        <v>293</v>
      </c>
      <c r="N49" s="11">
        <v>97813.0</v>
      </c>
      <c r="O49" s="12" t="s">
        <v>43</v>
      </c>
      <c r="P49" s="8">
        <v>2014.0</v>
      </c>
      <c r="Q49" s="18">
        <v>0.0</v>
      </c>
      <c r="R49" s="17">
        <v>0.9967</v>
      </c>
      <c r="S49" s="17">
        <v>0.0</v>
      </c>
      <c r="T49" s="17">
        <v>0.0</v>
      </c>
      <c r="U49" s="17">
        <v>0.0033</v>
      </c>
      <c r="V49" s="17">
        <v>0.0</v>
      </c>
      <c r="W49" s="17">
        <v>0.0</v>
      </c>
      <c r="X49" s="19">
        <v>0.0</v>
      </c>
      <c r="Y49" s="17"/>
      <c r="Z49" s="20"/>
      <c r="AA49" s="17">
        <v>0.0</v>
      </c>
      <c r="AB49" s="17">
        <v>0.9966</v>
      </c>
      <c r="AC49" s="17">
        <v>0.0</v>
      </c>
      <c r="AD49" s="17">
        <v>0.0</v>
      </c>
      <c r="AE49" s="17">
        <v>0.0033</v>
      </c>
      <c r="AF49" s="17">
        <v>0.0</v>
      </c>
      <c r="AG49" s="17">
        <v>0.0</v>
      </c>
      <c r="AH49" s="17">
        <v>0.0</v>
      </c>
    </row>
    <row r="50">
      <c r="A50" s="8" t="s">
        <v>294</v>
      </c>
      <c r="B50" s="8" t="s">
        <v>295</v>
      </c>
      <c r="C50" s="8">
        <v>1.0</v>
      </c>
      <c r="D50" s="8" t="s">
        <v>36</v>
      </c>
      <c r="E50" s="8" t="s">
        <v>37</v>
      </c>
      <c r="F50" s="9">
        <v>42758.0</v>
      </c>
      <c r="G50" s="9">
        <v>42767.0</v>
      </c>
      <c r="H50" s="8">
        <v>2017.0</v>
      </c>
      <c r="I50" s="8" t="s">
        <v>296</v>
      </c>
      <c r="J50" s="8" t="s">
        <v>47</v>
      </c>
      <c r="K50" s="8" t="s">
        <v>122</v>
      </c>
      <c r="L50" s="8" t="s">
        <v>297</v>
      </c>
      <c r="M50" s="10" t="s">
        <v>298</v>
      </c>
      <c r="N50" s="11">
        <v>91819.0</v>
      </c>
      <c r="O50" s="12" t="s">
        <v>43</v>
      </c>
      <c r="P50" s="8">
        <v>2014.0</v>
      </c>
      <c r="Q50" s="18">
        <v>0.0</v>
      </c>
      <c r="R50" s="17">
        <v>0.9998</v>
      </c>
      <c r="S50" s="17">
        <v>0.0</v>
      </c>
      <c r="T50" s="17">
        <v>0.0</v>
      </c>
      <c r="U50" s="17">
        <v>1.0E-4</v>
      </c>
      <c r="V50" s="17">
        <v>0.0</v>
      </c>
      <c r="W50" s="17">
        <v>0.0</v>
      </c>
      <c r="X50" s="19">
        <v>0.0</v>
      </c>
      <c r="Y50" s="17"/>
      <c r="Z50" s="20"/>
      <c r="AA50" s="17">
        <v>0.0</v>
      </c>
      <c r="AB50" s="17">
        <v>0.9998</v>
      </c>
      <c r="AC50" s="17">
        <v>0.0</v>
      </c>
      <c r="AD50" s="17">
        <v>0.0</v>
      </c>
      <c r="AE50" s="17">
        <v>1.0E-4</v>
      </c>
      <c r="AF50" s="17">
        <v>1.0E-4</v>
      </c>
      <c r="AG50" s="17">
        <v>0.0</v>
      </c>
      <c r="AH50" s="17">
        <v>0.0</v>
      </c>
    </row>
    <row r="51">
      <c r="A51" s="8" t="s">
        <v>299</v>
      </c>
      <c r="B51" s="8" t="s">
        <v>300</v>
      </c>
      <c r="C51" s="8">
        <v>1.0</v>
      </c>
      <c r="D51" s="8" t="s">
        <v>36</v>
      </c>
      <c r="E51" s="8" t="s">
        <v>37</v>
      </c>
      <c r="F51" s="9">
        <v>42794.0</v>
      </c>
      <c r="G51" s="9">
        <v>42818.0</v>
      </c>
      <c r="H51" s="8">
        <v>2017.0</v>
      </c>
      <c r="I51" s="8" t="s">
        <v>301</v>
      </c>
      <c r="J51" s="8" t="s">
        <v>47</v>
      </c>
      <c r="K51" s="8" t="s">
        <v>122</v>
      </c>
      <c r="L51" s="8" t="s">
        <v>302</v>
      </c>
      <c r="M51" s="10" t="s">
        <v>303</v>
      </c>
      <c r="N51" s="11">
        <v>121455.0</v>
      </c>
      <c r="O51" s="12" t="s">
        <v>43</v>
      </c>
      <c r="P51" s="8">
        <v>2014.0</v>
      </c>
      <c r="Q51" s="18">
        <v>1.0E-4</v>
      </c>
      <c r="R51" s="17">
        <v>0.9989</v>
      </c>
      <c r="S51" s="17">
        <v>0.0</v>
      </c>
      <c r="T51" s="17">
        <v>0.0</v>
      </c>
      <c r="U51" s="17">
        <v>0.001</v>
      </c>
      <c r="V51" s="17">
        <v>0.0</v>
      </c>
      <c r="W51" s="17">
        <v>0.0</v>
      </c>
      <c r="X51" s="19">
        <v>0.0</v>
      </c>
      <c r="Y51" s="17"/>
      <c r="Z51" s="20"/>
      <c r="AA51" s="17">
        <v>1.0E-4</v>
      </c>
      <c r="AB51" s="17">
        <v>0.9989</v>
      </c>
      <c r="AC51" s="17">
        <v>0.0</v>
      </c>
      <c r="AD51" s="17">
        <v>0.0</v>
      </c>
      <c r="AE51" s="17">
        <v>0.001</v>
      </c>
      <c r="AF51" s="17">
        <v>0.0</v>
      </c>
      <c r="AG51" s="17">
        <v>0.0</v>
      </c>
      <c r="AH51" s="17">
        <v>0.0</v>
      </c>
    </row>
    <row r="52">
      <c r="A52" s="8" t="s">
        <v>304</v>
      </c>
      <c r="B52" s="8" t="s">
        <v>305</v>
      </c>
      <c r="C52" s="8">
        <v>1.0</v>
      </c>
      <c r="D52" s="8" t="s">
        <v>36</v>
      </c>
      <c r="E52" s="8" t="s">
        <v>37</v>
      </c>
      <c r="F52" s="9">
        <v>42871.0</v>
      </c>
      <c r="G52" s="9">
        <v>42876.0</v>
      </c>
      <c r="H52" s="8">
        <v>2017.0</v>
      </c>
      <c r="I52" s="8" t="s">
        <v>306</v>
      </c>
      <c r="J52" s="8" t="s">
        <v>47</v>
      </c>
      <c r="K52" s="8" t="s">
        <v>122</v>
      </c>
      <c r="L52" s="8" t="s">
        <v>307</v>
      </c>
      <c r="M52" s="10" t="s">
        <v>308</v>
      </c>
      <c r="N52" s="11">
        <v>120918.0</v>
      </c>
      <c r="O52" s="12" t="s">
        <v>43</v>
      </c>
      <c r="P52" s="8">
        <v>2014.0</v>
      </c>
      <c r="Q52" s="18">
        <v>0.0</v>
      </c>
      <c r="R52" s="17">
        <v>0.9951</v>
      </c>
      <c r="S52" s="17">
        <v>0.0</v>
      </c>
      <c r="T52" s="17">
        <v>0.0</v>
      </c>
      <c r="U52" s="17">
        <v>0.0047</v>
      </c>
      <c r="V52" s="17">
        <v>2.0E-4</v>
      </c>
      <c r="W52" s="17">
        <v>0.0</v>
      </c>
      <c r="X52" s="19">
        <v>0.0</v>
      </c>
      <c r="Y52" s="17"/>
      <c r="Z52" s="20"/>
      <c r="AA52" s="17">
        <v>0.0</v>
      </c>
      <c r="AB52" s="17">
        <v>0.9949</v>
      </c>
      <c r="AC52" s="17">
        <v>0.0</v>
      </c>
      <c r="AD52" s="17">
        <v>0.0</v>
      </c>
      <c r="AE52" s="17">
        <v>0.0048</v>
      </c>
      <c r="AF52" s="17">
        <v>2.0E-4</v>
      </c>
      <c r="AG52" s="17">
        <v>0.0</v>
      </c>
      <c r="AH52" s="17">
        <v>0.0</v>
      </c>
    </row>
    <row r="53">
      <c r="A53" s="8" t="s">
        <v>309</v>
      </c>
      <c r="B53" s="8" t="s">
        <v>310</v>
      </c>
      <c r="C53" s="8">
        <v>1.0</v>
      </c>
      <c r="D53" s="8" t="s">
        <v>36</v>
      </c>
      <c r="E53" s="8" t="s">
        <v>37</v>
      </c>
      <c r="F53" s="9">
        <v>42973.0</v>
      </c>
      <c r="G53" s="9">
        <v>42975.0</v>
      </c>
      <c r="H53" s="8">
        <v>2017.0</v>
      </c>
      <c r="I53" s="8" t="s">
        <v>311</v>
      </c>
      <c r="J53" s="8" t="s">
        <v>47</v>
      </c>
      <c r="K53" s="8" t="s">
        <v>48</v>
      </c>
      <c r="L53" s="8" t="s">
        <v>312</v>
      </c>
      <c r="M53" s="10" t="s">
        <v>313</v>
      </c>
      <c r="N53" s="11">
        <v>138972.0</v>
      </c>
      <c r="O53" s="12" t="s">
        <v>43</v>
      </c>
      <c r="P53" s="8">
        <v>2014.0</v>
      </c>
      <c r="Q53" s="18">
        <v>0.0</v>
      </c>
      <c r="R53" s="17">
        <v>0.999</v>
      </c>
      <c r="S53" s="17">
        <v>0.0</v>
      </c>
      <c r="T53" s="17">
        <v>0.0</v>
      </c>
      <c r="U53" s="17">
        <v>0.001</v>
      </c>
      <c r="V53" s="17">
        <v>0.0</v>
      </c>
      <c r="W53" s="17">
        <v>0.0</v>
      </c>
      <c r="X53" s="19">
        <v>0.0</v>
      </c>
      <c r="Y53" s="17"/>
      <c r="Z53" s="20"/>
      <c r="AA53" s="30">
        <f t="shared" ref="AA53:AH53" si="4">(AA33*($C48/$C33))/$C48</f>
        <v>0</v>
      </c>
      <c r="AB53" s="30">
        <f t="shared" si="4"/>
        <v>0.9995</v>
      </c>
      <c r="AC53" s="30">
        <f t="shared" si="4"/>
        <v>0</v>
      </c>
      <c r="AD53" s="30">
        <f t="shared" si="4"/>
        <v>0</v>
      </c>
      <c r="AE53" s="30">
        <f t="shared" si="4"/>
        <v>0.0002</v>
      </c>
      <c r="AF53" s="30">
        <f t="shared" si="4"/>
        <v>0.0003</v>
      </c>
      <c r="AG53" s="30">
        <f t="shared" si="4"/>
        <v>0</v>
      </c>
      <c r="AH53" s="30">
        <f t="shared" si="4"/>
        <v>0</v>
      </c>
    </row>
    <row r="54">
      <c r="A54" s="8" t="s">
        <v>314</v>
      </c>
      <c r="B54" s="8" t="s">
        <v>315</v>
      </c>
      <c r="C54" s="8">
        <v>1.0</v>
      </c>
      <c r="D54" s="8" t="s">
        <v>36</v>
      </c>
      <c r="E54" s="8" t="s">
        <v>37</v>
      </c>
      <c r="F54" s="9">
        <v>42994.0</v>
      </c>
      <c r="G54" s="9">
        <v>42996.0</v>
      </c>
      <c r="H54" s="8">
        <v>2017.0</v>
      </c>
      <c r="I54" s="8" t="s">
        <v>316</v>
      </c>
      <c r="J54" s="8" t="s">
        <v>47</v>
      </c>
      <c r="K54" s="8" t="s">
        <v>48</v>
      </c>
      <c r="L54" s="8" t="s">
        <v>317</v>
      </c>
      <c r="M54" s="10" t="s">
        <v>318</v>
      </c>
      <c r="N54" s="11">
        <v>138331.0</v>
      </c>
      <c r="O54" s="12" t="s">
        <v>43</v>
      </c>
      <c r="P54" s="8">
        <v>2014.0</v>
      </c>
      <c r="Q54" s="18">
        <v>0.0</v>
      </c>
      <c r="R54" s="17">
        <v>0.9968</v>
      </c>
      <c r="S54" s="17">
        <v>0.0</v>
      </c>
      <c r="T54" s="17">
        <v>1.0E-4</v>
      </c>
      <c r="U54" s="17">
        <v>0.0031</v>
      </c>
      <c r="V54" s="17">
        <v>0.0</v>
      </c>
      <c r="W54" s="17">
        <v>0.0</v>
      </c>
      <c r="X54" s="19">
        <v>0.0</v>
      </c>
      <c r="Y54" s="17"/>
      <c r="Z54" s="20"/>
      <c r="AA54" s="17">
        <v>0.0</v>
      </c>
      <c r="AB54" s="17">
        <v>0.9967</v>
      </c>
      <c r="AC54" s="17">
        <v>0.0</v>
      </c>
      <c r="AD54" s="17">
        <v>1.0E-4</v>
      </c>
      <c r="AE54" s="17">
        <v>0.0031</v>
      </c>
      <c r="AF54" s="17">
        <v>0.0</v>
      </c>
      <c r="AG54" s="17">
        <v>0.0</v>
      </c>
      <c r="AH54" s="17">
        <v>0.0</v>
      </c>
    </row>
    <row r="55">
      <c r="A55" s="8" t="s">
        <v>319</v>
      </c>
      <c r="B55" s="8" t="s">
        <v>320</v>
      </c>
      <c r="C55" s="8">
        <v>1.0</v>
      </c>
      <c r="D55" s="8" t="s">
        <v>36</v>
      </c>
      <c r="E55" s="8" t="s">
        <v>37</v>
      </c>
      <c r="F55" s="9">
        <v>43041.0</v>
      </c>
      <c r="G55" s="9">
        <v>43043.0</v>
      </c>
      <c r="H55" s="8">
        <v>2017.0</v>
      </c>
      <c r="I55" s="8" t="s">
        <v>321</v>
      </c>
      <c r="J55" s="8" t="s">
        <v>47</v>
      </c>
      <c r="K55" s="8" t="s">
        <v>48</v>
      </c>
      <c r="L55" s="8" t="s">
        <v>322</v>
      </c>
      <c r="M55" s="10" t="s">
        <v>323</v>
      </c>
      <c r="N55" s="11">
        <v>129854.0</v>
      </c>
      <c r="O55" s="12" t="s">
        <v>43</v>
      </c>
      <c r="P55" s="8">
        <v>2014.0</v>
      </c>
      <c r="Q55" s="18">
        <v>0.0</v>
      </c>
      <c r="R55" s="17">
        <v>0.9984</v>
      </c>
      <c r="S55" s="17">
        <v>0.0</v>
      </c>
      <c r="T55" s="17">
        <v>0.0</v>
      </c>
      <c r="U55" s="17">
        <v>0.0014</v>
      </c>
      <c r="V55" s="17">
        <v>1.0E-4</v>
      </c>
      <c r="W55" s="17">
        <v>0.0</v>
      </c>
      <c r="X55" s="19">
        <v>0.0</v>
      </c>
      <c r="Y55" s="17"/>
      <c r="Z55" s="20"/>
      <c r="AA55" s="17">
        <v>0.0</v>
      </c>
      <c r="AB55" s="17">
        <v>0.9984</v>
      </c>
      <c r="AC55" s="17">
        <v>0.0</v>
      </c>
      <c r="AD55" s="17">
        <v>0.0</v>
      </c>
      <c r="AE55" s="17">
        <v>0.0014</v>
      </c>
      <c r="AF55" s="17">
        <v>2.0E-4</v>
      </c>
      <c r="AG55" s="17">
        <v>0.0</v>
      </c>
      <c r="AH55" s="17">
        <v>0.0</v>
      </c>
    </row>
    <row r="56">
      <c r="A56" s="8" t="s">
        <v>324</v>
      </c>
      <c r="B56" s="8" t="s">
        <v>325</v>
      </c>
      <c r="C56" s="8">
        <v>1.0</v>
      </c>
      <c r="D56" s="8" t="s">
        <v>36</v>
      </c>
      <c r="E56" s="8" t="s">
        <v>37</v>
      </c>
      <c r="F56" s="9">
        <v>43100.0</v>
      </c>
      <c r="G56" s="9">
        <v>43113.0</v>
      </c>
      <c r="H56" s="8">
        <v>2018.0</v>
      </c>
      <c r="I56" s="8" t="s">
        <v>326</v>
      </c>
      <c r="J56" s="8" t="s">
        <v>47</v>
      </c>
      <c r="K56" s="8" t="s">
        <v>48</v>
      </c>
      <c r="L56" s="8" t="s">
        <v>327</v>
      </c>
      <c r="M56" s="10" t="s">
        <v>328</v>
      </c>
      <c r="N56" s="11">
        <v>137262.0</v>
      </c>
      <c r="O56" s="12" t="s">
        <v>43</v>
      </c>
      <c r="P56" s="8">
        <v>2014.0</v>
      </c>
      <c r="Q56" s="18">
        <v>0.1034</v>
      </c>
      <c r="R56" s="17">
        <v>0.8948</v>
      </c>
      <c r="S56" s="17">
        <v>0.0</v>
      </c>
      <c r="T56" s="17">
        <v>2.0E-4</v>
      </c>
      <c r="U56" s="17">
        <v>0.0016</v>
      </c>
      <c r="V56" s="17">
        <v>0.0</v>
      </c>
      <c r="W56" s="17">
        <v>0.0</v>
      </c>
      <c r="X56" s="19">
        <v>0.0</v>
      </c>
      <c r="Y56" s="17"/>
      <c r="Z56" s="20"/>
      <c r="AA56" s="17">
        <v>0.1022</v>
      </c>
      <c r="AB56" s="17">
        <v>0.896</v>
      </c>
      <c r="AC56" s="17">
        <v>0.0</v>
      </c>
      <c r="AD56" s="17">
        <v>2.0E-4</v>
      </c>
      <c r="AE56" s="17">
        <v>0.0016</v>
      </c>
      <c r="AF56" s="17">
        <v>0.0</v>
      </c>
      <c r="AG56" s="17">
        <v>0.0</v>
      </c>
      <c r="AH56" s="17">
        <v>0.0</v>
      </c>
    </row>
    <row r="57">
      <c r="A57" s="8" t="s">
        <v>329</v>
      </c>
      <c r="B57" s="8" t="s">
        <v>330</v>
      </c>
      <c r="C57" s="8">
        <v>1.0</v>
      </c>
      <c r="D57" s="8" t="s">
        <v>36</v>
      </c>
      <c r="E57" s="8" t="s">
        <v>37</v>
      </c>
      <c r="F57" s="9">
        <v>43152.0</v>
      </c>
      <c r="G57" s="9">
        <v>43154.0</v>
      </c>
      <c r="H57" s="8">
        <v>2018.0</v>
      </c>
      <c r="I57" s="8" t="s">
        <v>331</v>
      </c>
      <c r="J57" s="8" t="s">
        <v>47</v>
      </c>
      <c r="K57" s="8" t="s">
        <v>48</v>
      </c>
      <c r="L57" s="8" t="s">
        <v>332</v>
      </c>
      <c r="M57" s="10" t="s">
        <v>333</v>
      </c>
      <c r="N57" s="11">
        <v>118326.0</v>
      </c>
      <c r="O57" s="12" t="s">
        <v>43</v>
      </c>
      <c r="P57" s="8">
        <v>2014.0</v>
      </c>
      <c r="Q57" s="18">
        <v>1.0E-4</v>
      </c>
      <c r="R57" s="17">
        <v>0.9987</v>
      </c>
      <c r="S57" s="17">
        <v>0.0</v>
      </c>
      <c r="T57" s="17">
        <v>0.001</v>
      </c>
      <c r="U57" s="17">
        <v>1.0E-4</v>
      </c>
      <c r="V57" s="17">
        <v>1.0E-4</v>
      </c>
      <c r="W57" s="17">
        <v>0.0</v>
      </c>
      <c r="X57" s="19">
        <v>0.0</v>
      </c>
      <c r="Y57" s="17"/>
      <c r="Z57" s="20"/>
      <c r="AA57" s="17">
        <v>1.0E-4</v>
      </c>
      <c r="AB57" s="17">
        <v>0.9987</v>
      </c>
      <c r="AC57" s="17">
        <v>0.0</v>
      </c>
      <c r="AD57" s="17">
        <v>0.001</v>
      </c>
      <c r="AE57" s="17">
        <v>2.0E-4</v>
      </c>
      <c r="AF57" s="17">
        <v>1.0E-4</v>
      </c>
      <c r="AG57" s="17">
        <v>0.0</v>
      </c>
      <c r="AH57" s="17">
        <v>0.0</v>
      </c>
    </row>
    <row r="58">
      <c r="A58" s="8" t="s">
        <v>334</v>
      </c>
      <c r="B58" s="8" t="s">
        <v>335</v>
      </c>
      <c r="C58" s="8">
        <v>1.0</v>
      </c>
      <c r="D58" s="8" t="s">
        <v>36</v>
      </c>
      <c r="E58" s="8" t="s">
        <v>37</v>
      </c>
      <c r="F58" s="9">
        <v>43220.0</v>
      </c>
      <c r="G58" s="9">
        <v>43223.0</v>
      </c>
      <c r="H58" s="8">
        <v>2018.0</v>
      </c>
      <c r="I58" s="8" t="s">
        <v>336</v>
      </c>
      <c r="J58" s="8" t="s">
        <v>47</v>
      </c>
      <c r="K58" s="8" t="s">
        <v>48</v>
      </c>
      <c r="L58" s="8" t="s">
        <v>337</v>
      </c>
      <c r="M58" s="10" t="s">
        <v>338</v>
      </c>
      <c r="N58" s="11">
        <v>132126.0</v>
      </c>
      <c r="O58" s="12" t="s">
        <v>43</v>
      </c>
      <c r="P58" s="8">
        <v>2014.0</v>
      </c>
      <c r="Q58" s="18">
        <v>0.0</v>
      </c>
      <c r="R58" s="17">
        <v>0.9998</v>
      </c>
      <c r="S58" s="17">
        <v>0.0</v>
      </c>
      <c r="T58" s="17">
        <v>0.0</v>
      </c>
      <c r="U58" s="17">
        <v>1.0E-4</v>
      </c>
      <c r="V58" s="17">
        <v>0.0</v>
      </c>
      <c r="W58" s="17">
        <v>0.0</v>
      </c>
      <c r="X58" s="19">
        <v>0.0</v>
      </c>
      <c r="Y58" s="17"/>
      <c r="Z58" s="20"/>
      <c r="AA58" s="17">
        <v>0.0</v>
      </c>
      <c r="AB58" s="17">
        <v>0.9998</v>
      </c>
      <c r="AC58" s="17">
        <v>0.0</v>
      </c>
      <c r="AD58" s="17">
        <v>0.0</v>
      </c>
      <c r="AE58" s="17">
        <v>1.0E-4</v>
      </c>
      <c r="AF58" s="17">
        <v>0.0</v>
      </c>
      <c r="AG58" s="17">
        <v>0.0</v>
      </c>
      <c r="AH58" s="17">
        <v>0.0</v>
      </c>
    </row>
    <row r="59">
      <c r="A59" s="8" t="s">
        <v>339</v>
      </c>
      <c r="B59" s="8" t="s">
        <v>340</v>
      </c>
      <c r="C59" s="8">
        <v>1.0</v>
      </c>
      <c r="D59" s="8" t="s">
        <v>36</v>
      </c>
      <c r="E59" s="8" t="s">
        <v>37</v>
      </c>
      <c r="F59" s="9">
        <v>43294.0</v>
      </c>
      <c r="G59" s="9">
        <v>43297.0</v>
      </c>
      <c r="H59" s="8">
        <v>2018.0</v>
      </c>
      <c r="I59" s="8" t="s">
        <v>341</v>
      </c>
      <c r="J59" s="8" t="s">
        <v>47</v>
      </c>
      <c r="K59" s="8" t="s">
        <v>122</v>
      </c>
      <c r="L59" s="8" t="s">
        <v>342</v>
      </c>
      <c r="M59" s="10" t="s">
        <v>343</v>
      </c>
      <c r="N59" s="11">
        <v>140145.0</v>
      </c>
      <c r="O59" s="12" t="s">
        <v>43</v>
      </c>
      <c r="P59" s="31">
        <v>2014.0</v>
      </c>
      <c r="Q59" s="30">
        <f t="shared" ref="Q59:X59" si="5">Q57/$C57</f>
        <v>0.0001</v>
      </c>
      <c r="R59" s="30">
        <f t="shared" si="5"/>
        <v>0.9987</v>
      </c>
      <c r="S59" s="30">
        <f t="shared" si="5"/>
        <v>0</v>
      </c>
      <c r="T59" s="30">
        <f t="shared" si="5"/>
        <v>0.001</v>
      </c>
      <c r="U59" s="30">
        <f t="shared" si="5"/>
        <v>0.0001</v>
      </c>
      <c r="V59" s="30">
        <f t="shared" si="5"/>
        <v>0.0001</v>
      </c>
      <c r="W59" s="30">
        <f t="shared" si="5"/>
        <v>0</v>
      </c>
      <c r="X59" s="42">
        <f t="shared" si="5"/>
        <v>0</v>
      </c>
      <c r="Y59" s="30"/>
      <c r="Z59" s="43"/>
      <c r="AA59" s="17">
        <v>1.0E-4</v>
      </c>
      <c r="AB59" s="17">
        <v>0.9908</v>
      </c>
      <c r="AC59" s="17">
        <v>0.0</v>
      </c>
      <c r="AD59" s="17">
        <v>0.0</v>
      </c>
      <c r="AE59" s="17">
        <v>0.0091</v>
      </c>
      <c r="AF59" s="17">
        <v>0.0</v>
      </c>
      <c r="AG59" s="17">
        <v>0.0</v>
      </c>
      <c r="AH59" s="17">
        <v>0.0</v>
      </c>
    </row>
    <row r="60">
      <c r="A60" s="8" t="s">
        <v>344</v>
      </c>
      <c r="B60" s="8" t="s">
        <v>345</v>
      </c>
      <c r="C60" s="8">
        <v>1.0</v>
      </c>
      <c r="D60" s="8" t="s">
        <v>36</v>
      </c>
      <c r="E60" s="8" t="s">
        <v>37</v>
      </c>
      <c r="F60" s="9">
        <v>43347.0</v>
      </c>
      <c r="G60" s="9">
        <v>43350.0</v>
      </c>
      <c r="H60" s="8">
        <v>2018.0</v>
      </c>
      <c r="I60" s="8" t="s">
        <v>346</v>
      </c>
      <c r="J60" s="8" t="s">
        <v>47</v>
      </c>
      <c r="K60" s="8" t="s">
        <v>122</v>
      </c>
      <c r="L60" s="8" t="s">
        <v>347</v>
      </c>
      <c r="M60" s="10" t="s">
        <v>348</v>
      </c>
      <c r="N60" s="11">
        <v>141087.0</v>
      </c>
      <c r="O60" s="12" t="s">
        <v>43</v>
      </c>
      <c r="P60" s="8">
        <v>2014.0</v>
      </c>
      <c r="Q60" s="18">
        <v>0.0</v>
      </c>
      <c r="R60" s="17">
        <v>0.9889</v>
      </c>
      <c r="S60" s="17">
        <v>0.0</v>
      </c>
      <c r="T60" s="17">
        <v>0.0</v>
      </c>
      <c r="U60" s="17">
        <v>0.0111</v>
      </c>
      <c r="V60" s="17">
        <v>0.0</v>
      </c>
      <c r="W60" s="17">
        <v>0.0</v>
      </c>
      <c r="X60" s="19">
        <v>0.0</v>
      </c>
      <c r="Y60" s="17"/>
      <c r="Z60" s="20"/>
      <c r="AA60" s="17">
        <v>0.0</v>
      </c>
      <c r="AB60" s="17">
        <v>0.9887</v>
      </c>
      <c r="AC60" s="17">
        <v>0.0</v>
      </c>
      <c r="AD60" s="17">
        <v>0.0</v>
      </c>
      <c r="AE60" s="17">
        <v>0.0113</v>
      </c>
      <c r="AF60" s="17">
        <v>0.0</v>
      </c>
      <c r="AG60" s="17">
        <v>0.0</v>
      </c>
      <c r="AH60" s="17">
        <v>0.0</v>
      </c>
    </row>
    <row r="61">
      <c r="A61" s="32" t="s">
        <v>349</v>
      </c>
      <c r="B61" s="32" t="s">
        <v>350</v>
      </c>
      <c r="C61" s="32">
        <v>1.0</v>
      </c>
      <c r="D61" s="32" t="s">
        <v>36</v>
      </c>
      <c r="E61" s="32" t="s">
        <v>37</v>
      </c>
      <c r="F61" s="33">
        <v>43377.0</v>
      </c>
      <c r="G61" s="33">
        <v>43384.0</v>
      </c>
      <c r="H61" s="32">
        <v>2018.0</v>
      </c>
      <c r="I61" s="32" t="s">
        <v>351</v>
      </c>
      <c r="J61" s="32" t="s">
        <v>47</v>
      </c>
      <c r="K61" s="32" t="s">
        <v>122</v>
      </c>
      <c r="L61" s="32" t="s">
        <v>352</v>
      </c>
      <c r="M61" s="34" t="s">
        <v>353</v>
      </c>
      <c r="N61" s="35">
        <v>52322.0</v>
      </c>
      <c r="O61" s="36" t="s">
        <v>43</v>
      </c>
      <c r="P61" s="32">
        <v>2014.0</v>
      </c>
      <c r="Q61" s="38">
        <v>0.9162</v>
      </c>
      <c r="R61" s="39">
        <v>0.0027</v>
      </c>
      <c r="S61" s="39">
        <v>0.0</v>
      </c>
      <c r="T61" s="39">
        <v>0.081</v>
      </c>
      <c r="U61" s="39">
        <v>2.0E-4</v>
      </c>
      <c r="V61" s="39">
        <v>0.0</v>
      </c>
      <c r="W61" s="39">
        <v>0.0</v>
      </c>
      <c r="X61" s="40">
        <v>0.0</v>
      </c>
      <c r="Y61" s="39"/>
      <c r="Z61" s="41"/>
      <c r="AA61" s="39">
        <v>0.9172</v>
      </c>
      <c r="AB61" s="39">
        <v>0.0027</v>
      </c>
      <c r="AC61" s="39">
        <v>0.0</v>
      </c>
      <c r="AD61" s="39">
        <v>0.08</v>
      </c>
      <c r="AE61" s="39">
        <v>2.0E-4</v>
      </c>
      <c r="AF61" s="39">
        <v>0.0</v>
      </c>
      <c r="AG61" s="39">
        <v>0.0</v>
      </c>
      <c r="AH61" s="39">
        <v>0.0</v>
      </c>
    </row>
    <row r="62">
      <c r="A62" s="8" t="s">
        <v>354</v>
      </c>
      <c r="B62" s="8" t="s">
        <v>355</v>
      </c>
      <c r="C62" s="8">
        <v>1.0</v>
      </c>
      <c r="D62" s="8" t="s">
        <v>36</v>
      </c>
      <c r="E62" s="8" t="s">
        <v>37</v>
      </c>
      <c r="F62" s="9">
        <v>43412.0</v>
      </c>
      <c r="G62" s="9">
        <v>43429.0</v>
      </c>
      <c r="H62" s="8">
        <v>2018.0</v>
      </c>
      <c r="I62" s="8" t="s">
        <v>356</v>
      </c>
      <c r="J62" s="8" t="s">
        <v>54</v>
      </c>
      <c r="K62" s="8" t="s">
        <v>122</v>
      </c>
      <c r="L62" s="8" t="s">
        <v>357</v>
      </c>
      <c r="M62" s="10" t="s">
        <v>358</v>
      </c>
      <c r="N62" s="11">
        <v>21967.0</v>
      </c>
      <c r="O62" s="12" t="s">
        <v>43</v>
      </c>
      <c r="P62" s="8">
        <v>2014.0</v>
      </c>
      <c r="Q62" s="18">
        <v>0.0247</v>
      </c>
      <c r="R62" s="17">
        <v>0.1021</v>
      </c>
      <c r="S62" s="17">
        <v>0.0</v>
      </c>
      <c r="T62" s="17">
        <v>0.0</v>
      </c>
      <c r="U62" s="17">
        <v>0.0401</v>
      </c>
      <c r="V62" s="17">
        <v>0.833</v>
      </c>
      <c r="W62" s="17">
        <v>0.0</v>
      </c>
      <c r="X62" s="19">
        <v>0.0</v>
      </c>
      <c r="Y62" s="17"/>
      <c r="Z62" s="20"/>
      <c r="AA62" s="17">
        <v>0.0202</v>
      </c>
      <c r="AB62" s="17">
        <v>0.0843</v>
      </c>
      <c r="AC62" s="17">
        <v>0.0</v>
      </c>
      <c r="AD62" s="17">
        <v>0.0</v>
      </c>
      <c r="AE62" s="17">
        <v>0.0338</v>
      </c>
      <c r="AF62" s="17">
        <v>0.8617</v>
      </c>
      <c r="AG62" s="17">
        <v>0.0</v>
      </c>
      <c r="AH62" s="17">
        <v>0.0</v>
      </c>
    </row>
    <row r="63">
      <c r="A63" s="8" t="s">
        <v>359</v>
      </c>
      <c r="B63" s="8" t="s">
        <v>360</v>
      </c>
      <c r="C63" s="8">
        <v>1.0</v>
      </c>
      <c r="D63" s="8" t="s">
        <v>36</v>
      </c>
      <c r="E63" s="8" t="s">
        <v>37</v>
      </c>
      <c r="F63" s="9">
        <v>43389.0</v>
      </c>
      <c r="G63" s="9">
        <v>43391.0</v>
      </c>
      <c r="H63" s="8">
        <v>2018.0</v>
      </c>
      <c r="I63" s="8" t="s">
        <v>361</v>
      </c>
      <c r="J63" s="8" t="s">
        <v>47</v>
      </c>
      <c r="K63" s="8" t="s">
        <v>48</v>
      </c>
      <c r="L63" s="8" t="s">
        <v>362</v>
      </c>
      <c r="M63" s="10" t="s">
        <v>363</v>
      </c>
      <c r="N63" s="11">
        <v>148592.0</v>
      </c>
      <c r="O63" s="12" t="s">
        <v>43</v>
      </c>
      <c r="P63" s="8">
        <v>2014.0</v>
      </c>
      <c r="Q63" s="18">
        <v>4.0E-4</v>
      </c>
      <c r="R63" s="17">
        <v>0.9995</v>
      </c>
      <c r="S63" s="17">
        <v>0.0</v>
      </c>
      <c r="T63" s="17">
        <v>0.0</v>
      </c>
      <c r="U63" s="17">
        <v>1.0E-4</v>
      </c>
      <c r="V63" s="17">
        <v>0.0</v>
      </c>
      <c r="W63" s="17">
        <v>0.0</v>
      </c>
      <c r="X63" s="19">
        <v>0.0</v>
      </c>
      <c r="Y63" s="17"/>
      <c r="Z63" s="20"/>
      <c r="AA63" s="17">
        <v>4.0E-4</v>
      </c>
      <c r="AB63" s="17">
        <v>0.9995</v>
      </c>
      <c r="AC63" s="17">
        <v>0.0</v>
      </c>
      <c r="AD63" s="17">
        <v>0.0</v>
      </c>
      <c r="AE63" s="17">
        <v>1.0E-4</v>
      </c>
      <c r="AF63" s="17">
        <v>0.0</v>
      </c>
      <c r="AG63" s="17">
        <v>0.0</v>
      </c>
      <c r="AH63" s="17">
        <v>0.0</v>
      </c>
    </row>
    <row r="64">
      <c r="A64" s="32" t="s">
        <v>364</v>
      </c>
      <c r="B64" s="32" t="s">
        <v>365</v>
      </c>
      <c r="C64" s="32">
        <v>1.0</v>
      </c>
      <c r="D64" s="32" t="s">
        <v>36</v>
      </c>
      <c r="E64" s="32" t="s">
        <v>37</v>
      </c>
      <c r="F64" s="33">
        <v>43407.0</v>
      </c>
      <c r="G64" s="33">
        <v>43409.0</v>
      </c>
      <c r="H64" s="32">
        <v>2018.0</v>
      </c>
      <c r="I64" s="32" t="s">
        <v>366</v>
      </c>
      <c r="J64" s="32" t="s">
        <v>47</v>
      </c>
      <c r="K64" s="32" t="s">
        <v>48</v>
      </c>
      <c r="L64" s="32" t="s">
        <v>367</v>
      </c>
      <c r="M64" s="34" t="s">
        <v>368</v>
      </c>
      <c r="N64" s="35">
        <v>105029.0</v>
      </c>
      <c r="O64" s="36" t="s">
        <v>43</v>
      </c>
      <c r="P64" s="32">
        <v>2014.0</v>
      </c>
      <c r="Q64" s="38">
        <v>2.0E-4</v>
      </c>
      <c r="R64" s="39">
        <v>0.9863</v>
      </c>
      <c r="S64" s="39">
        <v>0.0</v>
      </c>
      <c r="T64" s="39">
        <v>0.0</v>
      </c>
      <c r="U64" s="39">
        <v>0.0134</v>
      </c>
      <c r="V64" s="39">
        <v>0.0</v>
      </c>
      <c r="W64" s="39">
        <v>0.0</v>
      </c>
      <c r="X64" s="40">
        <v>0.0</v>
      </c>
      <c r="Y64" s="39"/>
      <c r="Z64" s="41"/>
      <c r="AA64" s="39">
        <v>2.0E-4</v>
      </c>
      <c r="AB64" s="39">
        <v>0.9861</v>
      </c>
      <c r="AC64" s="39">
        <v>0.0</v>
      </c>
      <c r="AD64" s="39">
        <v>0.0</v>
      </c>
      <c r="AE64" s="39">
        <v>0.0137</v>
      </c>
      <c r="AF64" s="39">
        <v>0.0</v>
      </c>
      <c r="AG64" s="39">
        <v>0.0</v>
      </c>
      <c r="AH64" s="39">
        <v>0.0</v>
      </c>
    </row>
    <row r="65">
      <c r="A65" s="8" t="s">
        <v>369</v>
      </c>
      <c r="B65" s="8" t="s">
        <v>370</v>
      </c>
      <c r="C65" s="8">
        <v>1.0</v>
      </c>
      <c r="D65" s="8" t="s">
        <v>36</v>
      </c>
      <c r="E65" s="8" t="s">
        <v>37</v>
      </c>
      <c r="F65" s="9">
        <v>43426.0</v>
      </c>
      <c r="G65" s="9">
        <v>43427.0</v>
      </c>
      <c r="H65" s="8">
        <v>2018.0</v>
      </c>
      <c r="I65" s="8" t="s">
        <v>371</v>
      </c>
      <c r="J65" s="8" t="s">
        <v>47</v>
      </c>
      <c r="K65" s="8" t="s">
        <v>48</v>
      </c>
      <c r="L65" s="8" t="s">
        <v>372</v>
      </c>
      <c r="M65" s="10" t="s">
        <v>373</v>
      </c>
      <c r="N65" s="11">
        <v>96146.0</v>
      </c>
      <c r="O65" s="12" t="s">
        <v>43</v>
      </c>
      <c r="P65" s="8">
        <v>2014.0</v>
      </c>
      <c r="Q65" s="18">
        <v>3.0E-4</v>
      </c>
      <c r="R65" s="17">
        <v>0.9997</v>
      </c>
      <c r="S65" s="17">
        <v>0.0</v>
      </c>
      <c r="T65" s="17">
        <v>0.0</v>
      </c>
      <c r="U65" s="17">
        <v>0.0</v>
      </c>
      <c r="V65" s="17">
        <v>0.0</v>
      </c>
      <c r="W65" s="17">
        <v>0.0</v>
      </c>
      <c r="X65" s="19">
        <v>0.0</v>
      </c>
      <c r="Y65" s="17"/>
      <c r="Z65" s="20"/>
      <c r="AA65" s="17">
        <v>3.0E-4</v>
      </c>
      <c r="AB65" s="17">
        <v>0.9997</v>
      </c>
      <c r="AC65" s="17">
        <v>0.0</v>
      </c>
      <c r="AD65" s="17">
        <v>0.0</v>
      </c>
      <c r="AE65" s="17">
        <v>0.0</v>
      </c>
      <c r="AF65" s="17">
        <v>0.0</v>
      </c>
      <c r="AG65" s="17">
        <v>0.0</v>
      </c>
      <c r="AH65" s="17">
        <v>0.0</v>
      </c>
    </row>
    <row r="66">
      <c r="A66" s="8" t="s">
        <v>374</v>
      </c>
      <c r="B66" s="8" t="s">
        <v>375</v>
      </c>
      <c r="C66" s="8">
        <v>1.0</v>
      </c>
      <c r="D66" s="8" t="s">
        <v>36</v>
      </c>
      <c r="E66" s="8" t="s">
        <v>37</v>
      </c>
      <c r="F66" s="9">
        <v>43368.0</v>
      </c>
      <c r="G66" s="9">
        <v>43472.0</v>
      </c>
      <c r="H66" s="8">
        <v>2019.0</v>
      </c>
      <c r="I66" s="8" t="s">
        <v>376</v>
      </c>
      <c r="J66" s="8" t="s">
        <v>377</v>
      </c>
      <c r="K66" s="8" t="s">
        <v>48</v>
      </c>
      <c r="L66" s="8" t="s">
        <v>378</v>
      </c>
      <c r="M66" s="10" t="s">
        <v>379</v>
      </c>
      <c r="N66" s="11">
        <v>113564.0</v>
      </c>
      <c r="O66" s="12" t="s">
        <v>43</v>
      </c>
      <c r="P66" s="8">
        <v>2014.0</v>
      </c>
      <c r="Q66" s="18">
        <v>0.7125</v>
      </c>
      <c r="R66" s="17">
        <v>0.2494</v>
      </c>
      <c r="S66" s="17">
        <v>0.0</v>
      </c>
      <c r="T66" s="17">
        <v>0.0345</v>
      </c>
      <c r="U66" s="17">
        <v>0.0025</v>
      </c>
      <c r="V66" s="17">
        <v>0.0011</v>
      </c>
      <c r="W66" s="17">
        <v>0.0</v>
      </c>
      <c r="X66" s="19">
        <v>0.0</v>
      </c>
      <c r="Y66" s="17"/>
      <c r="Z66" s="20"/>
      <c r="AA66" s="17">
        <v>0.7102</v>
      </c>
      <c r="AB66" s="17">
        <v>0.2519</v>
      </c>
      <c r="AC66" s="17">
        <v>0.0</v>
      </c>
      <c r="AD66" s="17">
        <v>0.0339</v>
      </c>
      <c r="AE66" s="17">
        <v>0.0026</v>
      </c>
      <c r="AF66" s="17">
        <v>0.0014</v>
      </c>
      <c r="AG66" s="17">
        <v>0.0</v>
      </c>
      <c r="AH66" s="17">
        <v>0.0</v>
      </c>
    </row>
    <row r="67">
      <c r="A67" s="8" t="s">
        <v>380</v>
      </c>
      <c r="B67" s="8" t="s">
        <v>381</v>
      </c>
      <c r="C67" s="8">
        <v>1.0</v>
      </c>
      <c r="D67" s="8" t="s">
        <v>36</v>
      </c>
      <c r="E67" s="8" t="s">
        <v>37</v>
      </c>
      <c r="F67" s="9">
        <v>43431.0</v>
      </c>
      <c r="G67" s="9">
        <v>43486.0</v>
      </c>
      <c r="H67" s="8">
        <v>2019.0</v>
      </c>
      <c r="I67" s="8" t="s">
        <v>382</v>
      </c>
      <c r="J67" s="8" t="s">
        <v>383</v>
      </c>
      <c r="K67" s="8" t="s">
        <v>48</v>
      </c>
      <c r="L67" s="8" t="s">
        <v>384</v>
      </c>
      <c r="M67" s="10" t="s">
        <v>385</v>
      </c>
      <c r="N67" s="11">
        <v>114871.0</v>
      </c>
      <c r="O67" s="12" t="s">
        <v>43</v>
      </c>
      <c r="P67" s="8">
        <v>2014.0</v>
      </c>
      <c r="Q67" s="18">
        <v>0.4303</v>
      </c>
      <c r="R67" s="17">
        <v>0.5528</v>
      </c>
      <c r="S67" s="17">
        <v>0.0</v>
      </c>
      <c r="T67" s="17">
        <v>0.0043</v>
      </c>
      <c r="U67" s="17">
        <v>0.0048</v>
      </c>
      <c r="V67" s="17">
        <v>0.0078</v>
      </c>
      <c r="W67" s="17">
        <v>0.0</v>
      </c>
      <c r="X67" s="19">
        <v>0.0</v>
      </c>
      <c r="Y67" s="17"/>
      <c r="Z67" s="20"/>
      <c r="AA67" s="17">
        <v>0.4262</v>
      </c>
      <c r="AB67" s="17">
        <v>0.5549</v>
      </c>
      <c r="AC67" s="17">
        <v>0.0</v>
      </c>
      <c r="AD67" s="17">
        <v>0.0042</v>
      </c>
      <c r="AE67" s="17">
        <v>0.0049</v>
      </c>
      <c r="AF67" s="17">
        <v>0.0099</v>
      </c>
      <c r="AG67" s="17">
        <v>0.0</v>
      </c>
      <c r="AH67" s="17">
        <v>0.0</v>
      </c>
    </row>
    <row r="68">
      <c r="A68" s="8" t="s">
        <v>386</v>
      </c>
      <c r="B68" s="8" t="s">
        <v>387</v>
      </c>
      <c r="C68" s="8">
        <v>1.0</v>
      </c>
      <c r="D68" s="8" t="s">
        <v>36</v>
      </c>
      <c r="E68" s="8" t="s">
        <v>37</v>
      </c>
      <c r="F68" s="44">
        <v>43511.0</v>
      </c>
      <c r="G68" s="44">
        <v>43555.0</v>
      </c>
      <c r="H68" s="8">
        <v>2019.0</v>
      </c>
      <c r="I68" s="8" t="s">
        <v>388</v>
      </c>
      <c r="J68" s="8" t="s">
        <v>383</v>
      </c>
      <c r="K68" s="8" t="s">
        <v>48</v>
      </c>
      <c r="L68" s="8" t="s">
        <v>389</v>
      </c>
      <c r="M68" s="10" t="s">
        <v>390</v>
      </c>
      <c r="N68" s="11">
        <v>88307.0</v>
      </c>
      <c r="O68" s="12" t="s">
        <v>43</v>
      </c>
      <c r="P68" s="8">
        <v>2014.0</v>
      </c>
      <c r="Q68" s="18">
        <v>0.1141</v>
      </c>
      <c r="R68" s="17">
        <v>0.8805</v>
      </c>
      <c r="S68" s="17">
        <v>0.0</v>
      </c>
      <c r="T68" s="17">
        <v>0.0014</v>
      </c>
      <c r="U68" s="17">
        <v>7.0E-4</v>
      </c>
      <c r="V68" s="17">
        <v>0.0034</v>
      </c>
      <c r="W68" s="17">
        <v>0.0</v>
      </c>
      <c r="X68" s="19">
        <v>0.0</v>
      </c>
      <c r="Y68" s="17"/>
      <c r="Z68" s="20"/>
      <c r="AA68" s="17">
        <v>0.1127</v>
      </c>
      <c r="AB68" s="17">
        <v>0.8811</v>
      </c>
      <c r="AC68" s="17">
        <v>0.0</v>
      </c>
      <c r="AD68" s="17">
        <v>0.0013</v>
      </c>
      <c r="AE68" s="17">
        <v>7.0E-4</v>
      </c>
      <c r="AF68" s="17">
        <v>0.0042</v>
      </c>
      <c r="AG68" s="17">
        <v>0.0</v>
      </c>
      <c r="AH68" s="17">
        <v>0.0</v>
      </c>
    </row>
    <row r="69">
      <c r="A69" s="8" t="s">
        <v>391</v>
      </c>
      <c r="B69" s="8" t="s">
        <v>392</v>
      </c>
      <c r="C69" s="8">
        <v>1.0</v>
      </c>
      <c r="D69" s="8" t="s">
        <v>36</v>
      </c>
      <c r="E69" s="8" t="s">
        <v>37</v>
      </c>
      <c r="F69" s="9">
        <v>43509.0</v>
      </c>
      <c r="G69" s="9">
        <v>43511.0</v>
      </c>
      <c r="H69" s="8">
        <v>2019.0</v>
      </c>
      <c r="I69" s="8" t="s">
        <v>393</v>
      </c>
      <c r="J69" s="8" t="s">
        <v>54</v>
      </c>
      <c r="K69" s="8" t="s">
        <v>122</v>
      </c>
      <c r="L69" s="8" t="s">
        <v>394</v>
      </c>
      <c r="M69" s="10" t="s">
        <v>395</v>
      </c>
      <c r="N69" s="11">
        <v>54157.0</v>
      </c>
      <c r="O69" s="12" t="s">
        <v>43</v>
      </c>
      <c r="P69" s="8">
        <v>2014.0</v>
      </c>
      <c r="Q69" s="18">
        <v>0.2939</v>
      </c>
      <c r="R69" s="17">
        <v>0.3592</v>
      </c>
      <c r="S69" s="17">
        <v>0.0</v>
      </c>
      <c r="T69" s="17">
        <v>0.0184</v>
      </c>
      <c r="U69" s="17">
        <v>0.2785</v>
      </c>
      <c r="V69" s="17">
        <v>0.0501</v>
      </c>
      <c r="W69" s="17">
        <v>0.0</v>
      </c>
      <c r="X69" s="19">
        <v>0.0</v>
      </c>
      <c r="Y69" s="17"/>
      <c r="Z69" s="20"/>
      <c r="AA69" s="17">
        <v>0.286</v>
      </c>
      <c r="AB69" s="17">
        <v>0.3542</v>
      </c>
      <c r="AC69" s="17">
        <v>2.0E-4</v>
      </c>
      <c r="AD69" s="17">
        <v>0.0177</v>
      </c>
      <c r="AE69" s="17">
        <v>0.2801</v>
      </c>
      <c r="AF69" s="17">
        <v>0.0618</v>
      </c>
      <c r="AG69" s="17">
        <v>0.0</v>
      </c>
      <c r="AH69" s="17">
        <v>0.0</v>
      </c>
    </row>
    <row r="70">
      <c r="A70" s="8" t="s">
        <v>396</v>
      </c>
      <c r="B70" s="8" t="s">
        <v>397</v>
      </c>
      <c r="C70" s="8">
        <v>1.0</v>
      </c>
      <c r="D70" s="8" t="s">
        <v>36</v>
      </c>
      <c r="E70" s="8" t="s">
        <v>37</v>
      </c>
      <c r="F70" s="9">
        <v>43493.0</v>
      </c>
      <c r="G70" s="9">
        <v>43495.0</v>
      </c>
      <c r="H70" s="8">
        <v>2019.0</v>
      </c>
      <c r="I70" s="8" t="s">
        <v>398</v>
      </c>
      <c r="J70" s="8" t="s">
        <v>47</v>
      </c>
      <c r="K70" s="8" t="s">
        <v>48</v>
      </c>
      <c r="L70" s="8" t="s">
        <v>399</v>
      </c>
      <c r="M70" s="10" t="s">
        <v>400</v>
      </c>
      <c r="N70" s="11">
        <v>85284.0</v>
      </c>
      <c r="O70" s="12" t="s">
        <v>43</v>
      </c>
      <c r="P70" s="8">
        <v>2014.0</v>
      </c>
      <c r="Q70" s="18">
        <v>0.0</v>
      </c>
      <c r="R70" s="17">
        <v>1.0</v>
      </c>
      <c r="S70" s="17">
        <v>0.0</v>
      </c>
      <c r="T70" s="17">
        <v>0.0</v>
      </c>
      <c r="U70" s="17">
        <v>0.0</v>
      </c>
      <c r="V70" s="17">
        <v>0.0</v>
      </c>
      <c r="W70" s="17">
        <v>0.0</v>
      </c>
      <c r="X70" s="19">
        <v>0.0</v>
      </c>
      <c r="Y70" s="17"/>
      <c r="Z70" s="20"/>
      <c r="AA70" s="17">
        <v>0.0</v>
      </c>
      <c r="AB70" s="17">
        <v>1.0</v>
      </c>
      <c r="AC70" s="17">
        <v>0.0</v>
      </c>
      <c r="AD70" s="17">
        <v>0.0</v>
      </c>
      <c r="AE70" s="17">
        <v>0.0</v>
      </c>
      <c r="AF70" s="17">
        <v>0.0</v>
      </c>
      <c r="AG70" s="17">
        <v>0.0</v>
      </c>
      <c r="AH70" s="17">
        <v>0.0</v>
      </c>
    </row>
    <row r="71">
      <c r="A71" s="8" t="s">
        <v>401</v>
      </c>
      <c r="B71" s="8" t="s">
        <v>402</v>
      </c>
      <c r="C71" s="8">
        <v>1.0</v>
      </c>
      <c r="D71" s="8" t="s">
        <v>36</v>
      </c>
      <c r="E71" s="8" t="s">
        <v>37</v>
      </c>
      <c r="F71" s="9">
        <v>43521.0</v>
      </c>
      <c r="G71" s="9">
        <v>43523.0</v>
      </c>
      <c r="H71" s="8">
        <v>2019.0</v>
      </c>
      <c r="I71" s="8" t="s">
        <v>403</v>
      </c>
      <c r="J71" s="8" t="s">
        <v>47</v>
      </c>
      <c r="K71" s="8" t="s">
        <v>48</v>
      </c>
      <c r="L71" s="8" t="s">
        <v>404</v>
      </c>
      <c r="M71" s="10" t="s">
        <v>405</v>
      </c>
      <c r="N71" s="11">
        <v>83032.0</v>
      </c>
      <c r="O71" s="12" t="s">
        <v>43</v>
      </c>
      <c r="P71" s="8">
        <v>2014.0</v>
      </c>
      <c r="Q71" s="18">
        <v>1.0E-4</v>
      </c>
      <c r="R71" s="17">
        <v>0.9816</v>
      </c>
      <c r="S71" s="17">
        <v>0.0</v>
      </c>
      <c r="T71" s="17">
        <v>0.0</v>
      </c>
      <c r="U71" s="17">
        <v>0.0183</v>
      </c>
      <c r="V71" s="17">
        <v>0.0</v>
      </c>
      <c r="W71" s="17">
        <v>0.0</v>
      </c>
      <c r="X71" s="19">
        <v>0.0</v>
      </c>
      <c r="Y71" s="17"/>
      <c r="Z71" s="20"/>
      <c r="AA71" s="17">
        <v>1.0E-4</v>
      </c>
      <c r="AB71" s="17">
        <v>0.9812</v>
      </c>
      <c r="AC71" s="17">
        <v>0.0</v>
      </c>
      <c r="AD71" s="17">
        <v>0.0</v>
      </c>
      <c r="AE71" s="17">
        <v>0.0187</v>
      </c>
      <c r="AF71" s="17">
        <v>0.0</v>
      </c>
      <c r="AG71" s="17">
        <v>0.0</v>
      </c>
      <c r="AH71" s="17">
        <v>0.0</v>
      </c>
    </row>
    <row r="72">
      <c r="A72" s="8" t="s">
        <v>406</v>
      </c>
      <c r="B72" s="8" t="s">
        <v>407</v>
      </c>
      <c r="C72" s="8">
        <v>1.0</v>
      </c>
      <c r="D72" s="8" t="s">
        <v>36</v>
      </c>
      <c r="E72" s="8" t="s">
        <v>37</v>
      </c>
      <c r="F72" s="9">
        <v>43531.0</v>
      </c>
      <c r="G72" s="9">
        <v>43577.0</v>
      </c>
      <c r="H72" s="8">
        <v>2019.0</v>
      </c>
      <c r="I72" s="8" t="s">
        <v>408</v>
      </c>
      <c r="J72" s="8" t="s">
        <v>54</v>
      </c>
      <c r="K72" s="8" t="s">
        <v>122</v>
      </c>
      <c r="L72" s="8" t="s">
        <v>409</v>
      </c>
      <c r="M72" s="10" t="s">
        <v>410</v>
      </c>
      <c r="N72" s="11">
        <v>44551.0</v>
      </c>
      <c r="O72" s="12" t="s">
        <v>43</v>
      </c>
      <c r="P72" s="8">
        <v>2014.0</v>
      </c>
      <c r="Q72" s="18">
        <v>0.0366</v>
      </c>
      <c r="R72" s="17">
        <v>0.5501</v>
      </c>
      <c r="S72" s="17">
        <v>2.0E-4</v>
      </c>
      <c r="T72" s="17">
        <v>0.1774</v>
      </c>
      <c r="U72" s="17">
        <v>0.0358</v>
      </c>
      <c r="V72" s="17">
        <v>0.1999</v>
      </c>
      <c r="W72" s="17">
        <v>0.0</v>
      </c>
      <c r="X72" s="19">
        <v>0.0</v>
      </c>
      <c r="Y72" s="17"/>
      <c r="Z72" s="20"/>
      <c r="AA72" s="17">
        <v>0.0345</v>
      </c>
      <c r="AB72" s="17">
        <v>0.5256</v>
      </c>
      <c r="AC72" s="17">
        <v>7.0E-4</v>
      </c>
      <c r="AD72" s="17">
        <v>0.1651</v>
      </c>
      <c r="AE72" s="17">
        <v>0.0349</v>
      </c>
      <c r="AF72" s="17">
        <v>0.2393</v>
      </c>
      <c r="AG72" s="17">
        <v>0.0</v>
      </c>
      <c r="AH72" s="17">
        <v>0.0</v>
      </c>
    </row>
    <row r="73">
      <c r="A73" s="32" t="s">
        <v>411</v>
      </c>
      <c r="B73" s="32" t="s">
        <v>412</v>
      </c>
      <c r="C73" s="32">
        <v>1.0</v>
      </c>
      <c r="D73" s="32" t="s">
        <v>36</v>
      </c>
      <c r="E73" s="32" t="s">
        <v>37</v>
      </c>
      <c r="F73" s="33">
        <v>43541.0</v>
      </c>
      <c r="G73" s="33">
        <v>43542.0</v>
      </c>
      <c r="H73" s="32">
        <v>2019.0</v>
      </c>
      <c r="I73" s="32" t="s">
        <v>413</v>
      </c>
      <c r="J73" s="32" t="s">
        <v>47</v>
      </c>
      <c r="K73" s="32" t="s">
        <v>48</v>
      </c>
      <c r="L73" s="32" t="s">
        <v>414</v>
      </c>
      <c r="M73" s="34" t="s">
        <v>415</v>
      </c>
      <c r="N73" s="35">
        <v>35887.0</v>
      </c>
      <c r="O73" s="36" t="s">
        <v>43</v>
      </c>
      <c r="P73" s="32">
        <v>2014.0</v>
      </c>
      <c r="Q73" s="38">
        <v>0.9516</v>
      </c>
      <c r="R73" s="39">
        <v>0.0057</v>
      </c>
      <c r="S73" s="39">
        <v>0.0</v>
      </c>
      <c r="T73" s="39">
        <v>0.0426</v>
      </c>
      <c r="U73" s="39">
        <v>0.0</v>
      </c>
      <c r="V73" s="39">
        <v>0.0</v>
      </c>
      <c r="W73" s="39">
        <v>0.0</v>
      </c>
      <c r="X73" s="40">
        <v>0.0</v>
      </c>
      <c r="Y73" s="39"/>
      <c r="Z73" s="41"/>
      <c r="AA73" s="39">
        <v>0.9521</v>
      </c>
      <c r="AB73" s="39">
        <v>0.0058</v>
      </c>
      <c r="AC73" s="39">
        <v>0.0</v>
      </c>
      <c r="AD73" s="39">
        <v>0.0421</v>
      </c>
      <c r="AE73" s="39">
        <v>0.0</v>
      </c>
      <c r="AF73" s="39">
        <v>0.0</v>
      </c>
      <c r="AG73" s="39">
        <v>0.0</v>
      </c>
      <c r="AH73" s="39">
        <v>0.0</v>
      </c>
    </row>
    <row r="74">
      <c r="A74" s="8" t="s">
        <v>416</v>
      </c>
      <c r="B74" s="8" t="s">
        <v>417</v>
      </c>
      <c r="C74" s="8">
        <v>1.0</v>
      </c>
      <c r="D74" s="8" t="s">
        <v>36</v>
      </c>
      <c r="E74" s="8" t="s">
        <v>37</v>
      </c>
      <c r="F74" s="9">
        <v>43556.0</v>
      </c>
      <c r="G74" s="9">
        <v>43557.0</v>
      </c>
      <c r="H74" s="8">
        <v>2019.0</v>
      </c>
      <c r="I74" s="8" t="s">
        <v>418</v>
      </c>
      <c r="J74" s="8" t="s">
        <v>47</v>
      </c>
      <c r="K74" s="8" t="s">
        <v>122</v>
      </c>
      <c r="L74" s="8" t="s">
        <v>419</v>
      </c>
      <c r="M74" s="10" t="s">
        <v>420</v>
      </c>
      <c r="N74" s="11">
        <v>83594.0</v>
      </c>
      <c r="O74" s="12" t="s">
        <v>43</v>
      </c>
      <c r="P74" s="8">
        <v>2014.0</v>
      </c>
      <c r="Q74" s="18">
        <v>2.0E-4</v>
      </c>
      <c r="R74" s="17">
        <v>0.9983</v>
      </c>
      <c r="S74" s="17">
        <v>0.0</v>
      </c>
      <c r="T74" s="17">
        <v>1.0E-4</v>
      </c>
      <c r="U74" s="17">
        <v>0.0014</v>
      </c>
      <c r="V74" s="17">
        <v>0.0</v>
      </c>
      <c r="W74" s="17">
        <v>0.0</v>
      </c>
      <c r="X74" s="19">
        <v>0.0</v>
      </c>
      <c r="Y74" s="17"/>
      <c r="Z74" s="20"/>
      <c r="AA74" s="17">
        <v>2.0E-4</v>
      </c>
      <c r="AB74" s="17">
        <v>0.9983</v>
      </c>
      <c r="AC74" s="17">
        <v>0.0</v>
      </c>
      <c r="AD74" s="17">
        <v>1.0E-4</v>
      </c>
      <c r="AE74" s="17">
        <v>0.0015</v>
      </c>
      <c r="AF74" s="17">
        <v>0.0</v>
      </c>
      <c r="AG74" s="17">
        <v>0.0</v>
      </c>
      <c r="AH74" s="17">
        <v>0.0</v>
      </c>
    </row>
    <row r="75">
      <c r="A75" s="8" t="s">
        <v>421</v>
      </c>
      <c r="B75" s="8" t="s">
        <v>422</v>
      </c>
      <c r="C75" s="8">
        <v>1.0</v>
      </c>
      <c r="D75" s="8" t="s">
        <v>36</v>
      </c>
      <c r="E75" s="8" t="s">
        <v>37</v>
      </c>
      <c r="F75" s="9">
        <v>43551.0</v>
      </c>
      <c r="G75" s="9">
        <v>43612.0</v>
      </c>
      <c r="H75" s="8">
        <v>2019.0</v>
      </c>
      <c r="I75" s="8" t="s">
        <v>423</v>
      </c>
      <c r="J75" s="8" t="s">
        <v>383</v>
      </c>
      <c r="K75" s="8" t="s">
        <v>424</v>
      </c>
      <c r="L75" s="8" t="s">
        <v>425</v>
      </c>
      <c r="M75" s="10" t="s">
        <v>426</v>
      </c>
      <c r="N75" s="11">
        <v>125403.0</v>
      </c>
      <c r="O75" s="12" t="s">
        <v>43</v>
      </c>
      <c r="P75" s="8">
        <v>2014.0</v>
      </c>
      <c r="Q75" s="18">
        <v>0.5867</v>
      </c>
      <c r="R75" s="17">
        <v>0.3112</v>
      </c>
      <c r="S75" s="17">
        <v>0.0</v>
      </c>
      <c r="T75" s="17">
        <v>0.0918</v>
      </c>
      <c r="U75" s="17">
        <v>0.01</v>
      </c>
      <c r="V75" s="17">
        <v>2.0E-4</v>
      </c>
      <c r="W75" s="17">
        <v>0.0</v>
      </c>
      <c r="X75" s="19">
        <v>0.0</v>
      </c>
      <c r="Y75" s="17"/>
      <c r="Z75" s="20"/>
      <c r="AA75" s="17">
        <v>0.5848</v>
      </c>
      <c r="AB75" s="17">
        <v>0.3143</v>
      </c>
      <c r="AC75" s="17">
        <v>0.0</v>
      </c>
      <c r="AD75" s="17">
        <v>0.0903</v>
      </c>
      <c r="AE75" s="17">
        <v>0.0103</v>
      </c>
      <c r="AF75" s="17">
        <v>3.0E-4</v>
      </c>
      <c r="AG75" s="17">
        <v>0.0</v>
      </c>
      <c r="AH75" s="17">
        <v>0.0</v>
      </c>
    </row>
    <row r="76">
      <c r="A76" s="8" t="s">
        <v>427</v>
      </c>
      <c r="B76" s="8" t="s">
        <v>428</v>
      </c>
      <c r="C76" s="8">
        <v>1.0</v>
      </c>
      <c r="D76" s="8" t="s">
        <v>36</v>
      </c>
      <c r="E76" s="8" t="s">
        <v>37</v>
      </c>
      <c r="F76" s="9">
        <v>43614.0</v>
      </c>
      <c r="G76" s="9">
        <v>43661.0</v>
      </c>
      <c r="H76" s="8">
        <v>2019.0</v>
      </c>
      <c r="I76" s="8" t="s">
        <v>429</v>
      </c>
      <c r="J76" s="8" t="s">
        <v>383</v>
      </c>
      <c r="K76" s="8" t="s">
        <v>424</v>
      </c>
      <c r="L76" s="8" t="s">
        <v>430</v>
      </c>
      <c r="M76" s="10" t="s">
        <v>431</v>
      </c>
      <c r="N76" s="11">
        <v>149835.0</v>
      </c>
      <c r="O76" s="12" t="s">
        <v>43</v>
      </c>
      <c r="P76" s="8">
        <v>2014.0</v>
      </c>
      <c r="Q76" s="18">
        <v>0.6066</v>
      </c>
      <c r="R76" s="17">
        <v>0.3613</v>
      </c>
      <c r="S76" s="17">
        <v>0.0</v>
      </c>
      <c r="T76" s="17">
        <v>0.0311</v>
      </c>
      <c r="U76" s="17">
        <v>1.0E-4</v>
      </c>
      <c r="V76" s="17">
        <v>9.0E-4</v>
      </c>
      <c r="W76" s="17">
        <v>0.0</v>
      </c>
      <c r="X76" s="19">
        <v>0.0</v>
      </c>
      <c r="Y76" s="17"/>
      <c r="Z76" s="20"/>
      <c r="AA76" s="17">
        <v>0.6038</v>
      </c>
      <c r="AB76" s="17">
        <v>0.3645</v>
      </c>
      <c r="AC76" s="17">
        <v>0.0</v>
      </c>
      <c r="AD76" s="17">
        <v>0.0305</v>
      </c>
      <c r="AE76" s="17">
        <v>1.0E-4</v>
      </c>
      <c r="AF76" s="17">
        <v>0.0011</v>
      </c>
      <c r="AG76" s="17">
        <v>0.0</v>
      </c>
      <c r="AH76" s="17">
        <v>0.0</v>
      </c>
    </row>
    <row r="77">
      <c r="A77" s="8" t="s">
        <v>432</v>
      </c>
      <c r="B77" s="8" t="s">
        <v>433</v>
      </c>
      <c r="C77" s="8">
        <v>1.0</v>
      </c>
      <c r="D77" s="8" t="s">
        <v>36</v>
      </c>
      <c r="E77" s="8" t="s">
        <v>37</v>
      </c>
      <c r="F77" s="9">
        <v>43602.0</v>
      </c>
      <c r="G77" s="9">
        <v>43685.0</v>
      </c>
      <c r="H77" s="8">
        <v>2019.0</v>
      </c>
      <c r="I77" s="8" t="s">
        <v>434</v>
      </c>
      <c r="J77" s="8" t="s">
        <v>383</v>
      </c>
      <c r="K77" s="8" t="s">
        <v>424</v>
      </c>
      <c r="L77" s="8" t="s">
        <v>435</v>
      </c>
      <c r="M77" s="10" t="s">
        <v>436</v>
      </c>
      <c r="N77" s="11">
        <v>91017.0</v>
      </c>
      <c r="O77" s="12" t="s">
        <v>43</v>
      </c>
      <c r="P77" s="8">
        <v>2014.0</v>
      </c>
      <c r="Q77" s="18">
        <v>0.5289</v>
      </c>
      <c r="R77" s="17">
        <v>0.1289</v>
      </c>
      <c r="S77" s="17">
        <v>0.0</v>
      </c>
      <c r="T77" s="17">
        <v>0.2306</v>
      </c>
      <c r="U77" s="17">
        <v>0.0974</v>
      </c>
      <c r="V77" s="17">
        <v>0.0142</v>
      </c>
      <c r="W77" s="17">
        <v>0.0</v>
      </c>
      <c r="X77" s="19">
        <v>0.0</v>
      </c>
      <c r="Y77" s="17"/>
      <c r="Z77" s="20"/>
      <c r="AA77" s="17">
        <v>0.5259</v>
      </c>
      <c r="AB77" s="17">
        <v>0.1298</v>
      </c>
      <c r="AC77" s="17">
        <v>0.0</v>
      </c>
      <c r="AD77" s="17">
        <v>0.2262</v>
      </c>
      <c r="AE77" s="17">
        <v>0.1002</v>
      </c>
      <c r="AF77" s="17">
        <v>0.0179</v>
      </c>
      <c r="AG77" s="17">
        <v>0.0</v>
      </c>
      <c r="AH77" s="17">
        <v>0.0</v>
      </c>
    </row>
    <row r="78">
      <c r="A78" s="8" t="s">
        <v>437</v>
      </c>
      <c r="B78" s="8" t="s">
        <v>438</v>
      </c>
      <c r="C78" s="8">
        <v>1.0</v>
      </c>
      <c r="D78" s="8" t="s">
        <v>36</v>
      </c>
      <c r="E78" s="8" t="s">
        <v>37</v>
      </c>
      <c r="F78" s="9">
        <v>43594.0</v>
      </c>
      <c r="G78" s="9">
        <v>43597.0</v>
      </c>
      <c r="H78" s="8">
        <v>2019.0</v>
      </c>
      <c r="I78" s="8" t="s">
        <v>439</v>
      </c>
      <c r="J78" s="8" t="s">
        <v>47</v>
      </c>
      <c r="K78" s="8" t="s">
        <v>122</v>
      </c>
      <c r="L78" s="8" t="s">
        <v>440</v>
      </c>
      <c r="M78" s="10" t="s">
        <v>441</v>
      </c>
      <c r="N78" s="11">
        <v>101230.0</v>
      </c>
      <c r="O78" s="12" t="s">
        <v>43</v>
      </c>
      <c r="P78" s="8">
        <v>2014.0</v>
      </c>
      <c r="Q78" s="18">
        <v>0.0045</v>
      </c>
      <c r="R78" s="17">
        <v>0.8128</v>
      </c>
      <c r="S78" s="17">
        <v>0.0</v>
      </c>
      <c r="T78" s="17">
        <v>0.1685</v>
      </c>
      <c r="U78" s="17">
        <v>0.0141</v>
      </c>
      <c r="V78" s="17">
        <v>0.0</v>
      </c>
      <c r="W78" s="17">
        <v>0.0</v>
      </c>
      <c r="X78" s="19">
        <v>0.0</v>
      </c>
      <c r="Y78" s="17"/>
      <c r="Z78" s="20"/>
      <c r="AA78" s="17">
        <v>0.0045</v>
      </c>
      <c r="AB78" s="17">
        <v>0.8162</v>
      </c>
      <c r="AC78" s="17">
        <v>0.0</v>
      </c>
      <c r="AD78" s="17">
        <v>0.1648</v>
      </c>
      <c r="AE78" s="17">
        <v>0.0145</v>
      </c>
      <c r="AF78" s="17">
        <v>0.0</v>
      </c>
      <c r="AG78" s="17">
        <v>0.0</v>
      </c>
      <c r="AH78" s="17">
        <v>0.0</v>
      </c>
    </row>
    <row r="79">
      <c r="A79" s="8" t="s">
        <v>442</v>
      </c>
      <c r="B79" s="8" t="s">
        <v>443</v>
      </c>
      <c r="C79" s="8">
        <v>1.0</v>
      </c>
      <c r="D79" s="8" t="s">
        <v>36</v>
      </c>
      <c r="E79" s="8" t="s">
        <v>37</v>
      </c>
      <c r="F79" s="44">
        <v>43619.0</v>
      </c>
      <c r="G79" s="44">
        <v>43621.0</v>
      </c>
      <c r="H79" s="8">
        <v>2019.0</v>
      </c>
      <c r="I79" s="8" t="s">
        <v>444</v>
      </c>
      <c r="J79" s="8" t="s">
        <v>47</v>
      </c>
      <c r="K79" s="8" t="s">
        <v>122</v>
      </c>
      <c r="L79" s="8" t="s">
        <v>445</v>
      </c>
      <c r="M79" s="10" t="s">
        <v>446</v>
      </c>
      <c r="N79" s="11">
        <v>83226.0</v>
      </c>
      <c r="O79" s="12" t="s">
        <v>43</v>
      </c>
      <c r="P79" s="8">
        <v>2014.0</v>
      </c>
      <c r="Q79" s="18">
        <v>0.0</v>
      </c>
      <c r="R79" s="17">
        <v>0.9613</v>
      </c>
      <c r="S79" s="17">
        <v>0.0</v>
      </c>
      <c r="T79" s="17">
        <v>0.0</v>
      </c>
      <c r="U79" s="17">
        <v>0.0386</v>
      </c>
      <c r="V79" s="17">
        <v>1.0E-4</v>
      </c>
      <c r="W79" s="17">
        <v>0.0</v>
      </c>
      <c r="X79" s="19">
        <v>0.0</v>
      </c>
      <c r="Y79" s="17"/>
      <c r="Z79" s="20"/>
      <c r="AA79" s="17">
        <v>0.0</v>
      </c>
      <c r="AB79" s="17">
        <v>0.9605</v>
      </c>
      <c r="AC79" s="17">
        <v>0.0</v>
      </c>
      <c r="AD79" s="17">
        <v>0.0</v>
      </c>
      <c r="AE79" s="17">
        <v>0.0393</v>
      </c>
      <c r="AF79" s="17">
        <v>1.0E-4</v>
      </c>
      <c r="AG79" s="17">
        <v>0.0</v>
      </c>
      <c r="AH79" s="17">
        <v>0.0</v>
      </c>
    </row>
    <row r="80">
      <c r="A80" s="8" t="s">
        <v>447</v>
      </c>
      <c r="B80" s="8" t="s">
        <v>448</v>
      </c>
      <c r="C80" s="8">
        <v>1.0</v>
      </c>
      <c r="D80" s="8" t="s">
        <v>36</v>
      </c>
      <c r="E80" s="8" t="s">
        <v>37</v>
      </c>
      <c r="F80" s="44">
        <v>43647.0</v>
      </c>
      <c r="G80" s="44">
        <v>43649.0</v>
      </c>
      <c r="H80" s="8">
        <v>2019.0</v>
      </c>
      <c r="I80" s="8" t="s">
        <v>449</v>
      </c>
      <c r="J80" s="8" t="s">
        <v>47</v>
      </c>
      <c r="K80" s="8" t="s">
        <v>48</v>
      </c>
      <c r="L80" s="8" t="s">
        <v>450</v>
      </c>
      <c r="M80" s="10" t="s">
        <v>451</v>
      </c>
      <c r="N80" s="11">
        <v>84831.0</v>
      </c>
      <c r="O80" s="12" t="s">
        <v>43</v>
      </c>
      <c r="P80" s="8">
        <v>2014.0</v>
      </c>
      <c r="Q80" s="18">
        <v>0.0</v>
      </c>
      <c r="R80" s="17">
        <v>0.9997</v>
      </c>
      <c r="S80" s="17">
        <v>0.0</v>
      </c>
      <c r="T80" s="17">
        <v>0.0</v>
      </c>
      <c r="U80" s="17">
        <v>2.0E-4</v>
      </c>
      <c r="V80" s="17">
        <v>0.0</v>
      </c>
      <c r="W80" s="17">
        <v>0.0</v>
      </c>
      <c r="X80" s="19">
        <v>0.0</v>
      </c>
      <c r="Y80" s="17"/>
      <c r="Z80" s="20"/>
      <c r="AA80" s="17">
        <v>0.0</v>
      </c>
      <c r="AB80" s="17">
        <v>0.9997</v>
      </c>
      <c r="AC80" s="17">
        <v>0.0</v>
      </c>
      <c r="AD80" s="17">
        <v>0.0</v>
      </c>
      <c r="AE80" s="17">
        <v>2.0E-4</v>
      </c>
      <c r="AF80" s="17">
        <v>0.0</v>
      </c>
      <c r="AG80" s="17">
        <v>0.0</v>
      </c>
      <c r="AH80" s="17">
        <v>0.0</v>
      </c>
    </row>
    <row r="81">
      <c r="A81" s="8" t="s">
        <v>452</v>
      </c>
      <c r="B81" s="8" t="s">
        <v>453</v>
      </c>
      <c r="C81" s="8">
        <v>1.0</v>
      </c>
      <c r="D81" s="8" t="s">
        <v>36</v>
      </c>
      <c r="E81" s="8" t="s">
        <v>37</v>
      </c>
      <c r="F81" s="44">
        <v>43673.0</v>
      </c>
      <c r="G81" s="44">
        <v>43675.0</v>
      </c>
      <c r="H81" s="8">
        <v>2019.0</v>
      </c>
      <c r="I81" s="8" t="s">
        <v>454</v>
      </c>
      <c r="J81" s="8" t="s">
        <v>47</v>
      </c>
      <c r="K81" s="8" t="s">
        <v>48</v>
      </c>
      <c r="L81" s="8" t="s">
        <v>455</v>
      </c>
      <c r="M81" s="10" t="s">
        <v>456</v>
      </c>
      <c r="N81" s="11">
        <v>84842.0</v>
      </c>
      <c r="O81" s="12" t="s">
        <v>43</v>
      </c>
      <c r="P81" s="8">
        <v>2014.0</v>
      </c>
      <c r="Q81" s="18">
        <v>0.0</v>
      </c>
      <c r="R81" s="17">
        <v>0.9999</v>
      </c>
      <c r="S81" s="17">
        <v>0.0</v>
      </c>
      <c r="T81" s="17">
        <v>0.0</v>
      </c>
      <c r="U81" s="17">
        <v>0.0</v>
      </c>
      <c r="V81" s="17">
        <v>0.0</v>
      </c>
      <c r="W81" s="17">
        <v>0.0</v>
      </c>
      <c r="X81" s="19">
        <v>0.0</v>
      </c>
      <c r="Y81" s="17"/>
      <c r="Z81" s="20"/>
      <c r="AA81" s="17">
        <v>0.0</v>
      </c>
      <c r="AB81" s="17">
        <v>0.9999</v>
      </c>
      <c r="AC81" s="17">
        <v>0.0</v>
      </c>
      <c r="AD81" s="17">
        <v>0.0</v>
      </c>
      <c r="AE81" s="17">
        <v>0.0</v>
      </c>
      <c r="AF81" s="17">
        <v>0.0</v>
      </c>
      <c r="AG81" s="17">
        <v>0.0</v>
      </c>
      <c r="AH81" s="17">
        <v>0.0</v>
      </c>
    </row>
    <row r="82">
      <c r="A82" s="8" t="s">
        <v>457</v>
      </c>
      <c r="B82" s="8" t="s">
        <v>458</v>
      </c>
      <c r="C82" s="8">
        <v>1.0</v>
      </c>
      <c r="D82" s="8" t="s">
        <v>36</v>
      </c>
      <c r="E82" s="8" t="s">
        <v>37</v>
      </c>
      <c r="F82" s="9">
        <v>43693.0</v>
      </c>
      <c r="G82" s="9">
        <v>43718.0</v>
      </c>
      <c r="H82" s="8">
        <v>2019.0</v>
      </c>
      <c r="I82" s="8" t="s">
        <v>459</v>
      </c>
      <c r="J82" s="8" t="s">
        <v>383</v>
      </c>
      <c r="K82" s="8" t="s">
        <v>424</v>
      </c>
      <c r="L82" s="8" t="s">
        <v>460</v>
      </c>
      <c r="M82" s="10" t="s">
        <v>461</v>
      </c>
      <c r="N82" s="11">
        <v>51610.0</v>
      </c>
      <c r="O82" s="12" t="s">
        <v>43</v>
      </c>
      <c r="P82" s="8">
        <v>2014.0</v>
      </c>
      <c r="Q82" s="18">
        <v>0.9664</v>
      </c>
      <c r="R82" s="17">
        <v>0.004</v>
      </c>
      <c r="S82" s="17">
        <v>0.0</v>
      </c>
      <c r="T82" s="17">
        <v>0.0278</v>
      </c>
      <c r="U82" s="17">
        <v>0.0</v>
      </c>
      <c r="V82" s="17">
        <v>0.0018</v>
      </c>
      <c r="W82" s="17">
        <v>0.0</v>
      </c>
      <c r="X82" s="19">
        <v>0.0</v>
      </c>
      <c r="Y82" s="17"/>
      <c r="Z82" s="20"/>
      <c r="AA82" s="17">
        <v>0.9662</v>
      </c>
      <c r="AB82" s="17">
        <v>0.0041</v>
      </c>
      <c r="AC82" s="17">
        <v>0.0</v>
      </c>
      <c r="AD82" s="17">
        <v>0.0274</v>
      </c>
      <c r="AE82" s="17">
        <v>0.0</v>
      </c>
      <c r="AF82" s="17">
        <v>0.0023</v>
      </c>
      <c r="AG82" s="17">
        <v>0.0</v>
      </c>
      <c r="AH82" s="17">
        <v>0.0</v>
      </c>
    </row>
    <row r="83">
      <c r="A83" s="8" t="s">
        <v>462</v>
      </c>
      <c r="B83" s="8" t="s">
        <v>463</v>
      </c>
      <c r="C83" s="8">
        <v>1.0</v>
      </c>
      <c r="D83" s="8" t="s">
        <v>36</v>
      </c>
      <c r="E83" s="8" t="s">
        <v>37</v>
      </c>
      <c r="F83" s="9">
        <v>43692.0</v>
      </c>
      <c r="G83" s="9">
        <v>43722.0</v>
      </c>
      <c r="H83" s="8">
        <v>2019.0</v>
      </c>
      <c r="I83" s="8" t="s">
        <v>464</v>
      </c>
      <c r="J83" s="8" t="s">
        <v>383</v>
      </c>
      <c r="K83" s="8" t="s">
        <v>424</v>
      </c>
      <c r="L83" s="8" t="s">
        <v>465</v>
      </c>
      <c r="M83" s="10" t="s">
        <v>466</v>
      </c>
      <c r="N83" s="11">
        <v>42038.0</v>
      </c>
      <c r="O83" s="12" t="s">
        <v>43</v>
      </c>
      <c r="P83" s="8">
        <v>2014.0</v>
      </c>
      <c r="Q83" s="18">
        <v>9.0E-4</v>
      </c>
      <c r="R83" s="17">
        <v>0.9884</v>
      </c>
      <c r="S83" s="17">
        <v>0.0</v>
      </c>
      <c r="T83" s="17">
        <v>6.0E-4</v>
      </c>
      <c r="U83" s="17">
        <v>0.0079</v>
      </c>
      <c r="V83" s="17">
        <v>0.0022</v>
      </c>
      <c r="W83" s="17">
        <v>0.0</v>
      </c>
      <c r="X83" s="19">
        <v>0.0</v>
      </c>
      <c r="Y83" s="17"/>
      <c r="Z83" s="20"/>
      <c r="AA83" s="17">
        <v>9.0E-4</v>
      </c>
      <c r="AB83" s="17">
        <v>0.9878</v>
      </c>
      <c r="AC83" s="17">
        <v>0.0</v>
      </c>
      <c r="AD83" s="17">
        <v>6.0E-4</v>
      </c>
      <c r="AE83" s="17">
        <v>0.0081</v>
      </c>
      <c r="AF83" s="17">
        <v>0.0027</v>
      </c>
      <c r="AG83" s="17">
        <v>0.0</v>
      </c>
      <c r="AH83" s="17">
        <v>0.0</v>
      </c>
    </row>
    <row r="84">
      <c r="A84" s="8" t="s">
        <v>467</v>
      </c>
      <c r="B84" s="8" t="s">
        <v>468</v>
      </c>
      <c r="C84" s="8">
        <v>1.0</v>
      </c>
      <c r="D84" s="8" t="s">
        <v>36</v>
      </c>
      <c r="E84" s="8" t="s">
        <v>37</v>
      </c>
      <c r="F84" s="44">
        <v>43703.0</v>
      </c>
      <c r="G84" s="44">
        <v>43709.0</v>
      </c>
      <c r="H84" s="8">
        <v>2019.0</v>
      </c>
      <c r="I84" s="8" t="s">
        <v>469</v>
      </c>
      <c r="J84" s="8" t="s">
        <v>47</v>
      </c>
      <c r="K84" s="8" t="s">
        <v>48</v>
      </c>
      <c r="L84" s="8" t="s">
        <v>470</v>
      </c>
      <c r="M84" s="10" t="s">
        <v>471</v>
      </c>
      <c r="N84" s="11">
        <v>106355.0</v>
      </c>
      <c r="O84" s="12" t="s">
        <v>43</v>
      </c>
      <c r="P84" s="8">
        <v>2014.0</v>
      </c>
      <c r="Q84" s="18">
        <v>0.2337</v>
      </c>
      <c r="R84" s="17">
        <v>0.722</v>
      </c>
      <c r="S84" s="17">
        <v>0.0</v>
      </c>
      <c r="T84" s="17">
        <v>0.0153</v>
      </c>
      <c r="U84" s="17">
        <v>0.029</v>
      </c>
      <c r="V84" s="17">
        <v>0.0</v>
      </c>
      <c r="W84" s="17">
        <v>0.0</v>
      </c>
      <c r="X84" s="19">
        <v>0.0</v>
      </c>
      <c r="Y84" s="17"/>
      <c r="Z84" s="20"/>
      <c r="AA84" s="17">
        <v>0.2313</v>
      </c>
      <c r="AB84" s="17">
        <v>0.7241</v>
      </c>
      <c r="AC84" s="17">
        <v>0.0</v>
      </c>
      <c r="AD84" s="17">
        <v>0.015</v>
      </c>
      <c r="AE84" s="17">
        <v>0.0296</v>
      </c>
      <c r="AF84" s="17">
        <v>0.0</v>
      </c>
      <c r="AG84" s="17">
        <v>0.0</v>
      </c>
      <c r="AH84" s="17">
        <v>0.0</v>
      </c>
    </row>
    <row r="85">
      <c r="A85" s="8" t="s">
        <v>472</v>
      </c>
      <c r="B85" s="8" t="s">
        <v>473</v>
      </c>
      <c r="C85" s="8">
        <v>1.0</v>
      </c>
      <c r="D85" s="8" t="s">
        <v>36</v>
      </c>
      <c r="E85" s="8" t="s">
        <v>37</v>
      </c>
      <c r="F85" s="9">
        <v>43723.0</v>
      </c>
      <c r="G85" s="44">
        <v>43741.0</v>
      </c>
      <c r="H85" s="8">
        <v>2019.0</v>
      </c>
      <c r="I85" s="8" t="s">
        <v>474</v>
      </c>
      <c r="J85" s="8" t="s">
        <v>383</v>
      </c>
      <c r="K85" s="8" t="s">
        <v>424</v>
      </c>
      <c r="L85" s="8" t="s">
        <v>475</v>
      </c>
      <c r="M85" s="10" t="s">
        <v>476</v>
      </c>
      <c r="N85" s="11">
        <v>136444.0</v>
      </c>
      <c r="O85" s="12" t="s">
        <v>43</v>
      </c>
      <c r="P85" s="8">
        <v>2014.0</v>
      </c>
      <c r="Q85" s="18">
        <v>0.6715</v>
      </c>
      <c r="R85" s="17">
        <v>0.2884</v>
      </c>
      <c r="S85" s="17">
        <v>0.0</v>
      </c>
      <c r="T85" s="17">
        <v>0.0353</v>
      </c>
      <c r="U85" s="17">
        <v>0.004</v>
      </c>
      <c r="V85" s="17">
        <v>8.0E-4</v>
      </c>
      <c r="W85" s="17">
        <v>0.0</v>
      </c>
      <c r="X85" s="19">
        <v>0.0</v>
      </c>
      <c r="Y85" s="17"/>
      <c r="Z85" s="20"/>
      <c r="AA85" s="17">
        <v>0.669</v>
      </c>
      <c r="AB85" s="17">
        <v>0.2912</v>
      </c>
      <c r="AC85" s="17">
        <v>0.0</v>
      </c>
      <c r="AD85" s="17">
        <v>0.0347</v>
      </c>
      <c r="AE85" s="17">
        <v>0.0041</v>
      </c>
      <c r="AF85" s="17">
        <v>0.0011</v>
      </c>
      <c r="AG85" s="17">
        <v>0.0</v>
      </c>
      <c r="AH85" s="17">
        <v>0.0</v>
      </c>
    </row>
    <row r="86">
      <c r="A86" s="8" t="s">
        <v>477</v>
      </c>
      <c r="B86" s="8" t="s">
        <v>478</v>
      </c>
      <c r="C86" s="8">
        <v>1.0</v>
      </c>
      <c r="D86" s="8" t="s">
        <v>36</v>
      </c>
      <c r="E86" s="8" t="s">
        <v>37</v>
      </c>
      <c r="F86" s="44">
        <v>43719.0</v>
      </c>
      <c r="G86" s="44">
        <v>43721.0</v>
      </c>
      <c r="H86" s="8">
        <v>2019.0</v>
      </c>
      <c r="I86" s="8" t="s">
        <v>479</v>
      </c>
      <c r="J86" s="8" t="s">
        <v>54</v>
      </c>
      <c r="K86" s="8" t="s">
        <v>48</v>
      </c>
      <c r="L86" s="8" t="s">
        <v>480</v>
      </c>
      <c r="M86" s="10" t="s">
        <v>481</v>
      </c>
      <c r="N86" s="11">
        <v>70400.0</v>
      </c>
      <c r="O86" s="12" t="s">
        <v>43</v>
      </c>
      <c r="P86" s="8">
        <v>2014.0</v>
      </c>
      <c r="Q86" s="18">
        <v>0.5749</v>
      </c>
      <c r="R86" s="17">
        <v>0.4003</v>
      </c>
      <c r="S86" s="17">
        <v>0.0</v>
      </c>
      <c r="T86" s="17">
        <v>0.0214</v>
      </c>
      <c r="U86" s="17">
        <v>0.003</v>
      </c>
      <c r="V86" s="17">
        <v>5.0E-4</v>
      </c>
      <c r="W86" s="17">
        <v>0.0</v>
      </c>
      <c r="X86" s="19">
        <v>0.0</v>
      </c>
      <c r="Y86" s="17"/>
      <c r="Z86" s="20"/>
      <c r="AA86" s="17">
        <v>0.5719</v>
      </c>
      <c r="AB86" s="17">
        <v>0.4035</v>
      </c>
      <c r="AC86" s="17">
        <v>0.0</v>
      </c>
      <c r="AD86" s="17">
        <v>0.021</v>
      </c>
      <c r="AE86" s="17">
        <v>0.0031</v>
      </c>
      <c r="AF86" s="17">
        <v>6.0E-4</v>
      </c>
      <c r="AG86" s="17">
        <v>0.0</v>
      </c>
      <c r="AH86" s="17">
        <v>0.0</v>
      </c>
    </row>
    <row r="87">
      <c r="A87" s="8" t="s">
        <v>482</v>
      </c>
      <c r="B87" s="8" t="s">
        <v>483</v>
      </c>
      <c r="C87" s="8">
        <v>1.0</v>
      </c>
      <c r="D87" s="8" t="s">
        <v>36</v>
      </c>
      <c r="E87" s="8" t="s">
        <v>37</v>
      </c>
      <c r="F87" s="44">
        <v>43759.0</v>
      </c>
      <c r="G87" s="44">
        <v>43761.0</v>
      </c>
      <c r="H87" s="8">
        <v>2019.0</v>
      </c>
      <c r="I87" s="8" t="s">
        <v>484</v>
      </c>
      <c r="J87" s="8" t="s">
        <v>47</v>
      </c>
      <c r="K87" s="8" t="s">
        <v>48</v>
      </c>
      <c r="L87" s="8" t="s">
        <v>485</v>
      </c>
      <c r="M87" s="10" t="s">
        <v>486</v>
      </c>
      <c r="N87" s="11">
        <v>129697.0</v>
      </c>
      <c r="O87" s="12" t="s">
        <v>43</v>
      </c>
      <c r="P87" s="8">
        <v>2014.0</v>
      </c>
      <c r="Q87" s="18">
        <v>0.0011</v>
      </c>
      <c r="R87" s="17">
        <v>0.9621</v>
      </c>
      <c r="S87" s="17">
        <v>0.0</v>
      </c>
      <c r="T87" s="17">
        <v>1.0E-4</v>
      </c>
      <c r="U87" s="17">
        <v>0.0366</v>
      </c>
      <c r="V87" s="17">
        <v>1.0E-4</v>
      </c>
      <c r="W87" s="17">
        <v>0.0</v>
      </c>
      <c r="X87" s="19">
        <v>0.0</v>
      </c>
      <c r="Y87" s="17"/>
      <c r="Z87" s="20"/>
      <c r="AA87" s="17">
        <v>0.0011</v>
      </c>
      <c r="AB87" s="17">
        <v>0.9614</v>
      </c>
      <c r="AC87" s="17">
        <v>0.0</v>
      </c>
      <c r="AD87" s="17">
        <v>1.0E-4</v>
      </c>
      <c r="AE87" s="17">
        <v>0.0373</v>
      </c>
      <c r="AF87" s="17">
        <v>1.0E-4</v>
      </c>
      <c r="AG87" s="17">
        <v>0.0</v>
      </c>
      <c r="AH87" s="17">
        <v>0.0</v>
      </c>
    </row>
    <row r="88">
      <c r="A88" s="8" t="s">
        <v>487</v>
      </c>
      <c r="B88" s="8" t="s">
        <v>488</v>
      </c>
      <c r="C88" s="8">
        <v>1.0</v>
      </c>
      <c r="D88" s="8" t="s">
        <v>36</v>
      </c>
      <c r="E88" s="8" t="s">
        <v>37</v>
      </c>
      <c r="F88" s="44">
        <v>43793.0</v>
      </c>
      <c r="G88" s="44">
        <v>43794.0</v>
      </c>
      <c r="H88" s="8">
        <v>2019.0</v>
      </c>
      <c r="I88" s="8" t="s">
        <v>489</v>
      </c>
      <c r="J88" s="8" t="s">
        <v>47</v>
      </c>
      <c r="K88" s="8" t="s">
        <v>48</v>
      </c>
      <c r="L88" s="8" t="s">
        <v>490</v>
      </c>
      <c r="M88" s="10" t="s">
        <v>491</v>
      </c>
      <c r="N88" s="11">
        <v>79438.0</v>
      </c>
      <c r="O88" s="12" t="s">
        <v>43</v>
      </c>
      <c r="P88" s="8">
        <v>2014.0</v>
      </c>
      <c r="Q88" s="18">
        <v>5.0E-4</v>
      </c>
      <c r="R88" s="17">
        <v>0.8542</v>
      </c>
      <c r="S88" s="17">
        <v>0.0</v>
      </c>
      <c r="T88" s="17">
        <v>0.0</v>
      </c>
      <c r="U88" s="17">
        <v>0.1453</v>
      </c>
      <c r="V88" s="17">
        <v>0.0</v>
      </c>
      <c r="W88" s="17">
        <v>0.0</v>
      </c>
      <c r="X88" s="19">
        <v>0.0</v>
      </c>
      <c r="Y88" s="17"/>
      <c r="Z88" s="20"/>
      <c r="AA88" s="17">
        <v>5.0E-4</v>
      </c>
      <c r="AB88" s="17">
        <v>0.8517</v>
      </c>
      <c r="AC88" s="17">
        <v>0.0</v>
      </c>
      <c r="AD88" s="17">
        <v>0.0</v>
      </c>
      <c r="AE88" s="17">
        <v>0.1478</v>
      </c>
      <c r="AF88" s="17">
        <v>0.0</v>
      </c>
      <c r="AG88" s="17">
        <v>0.0</v>
      </c>
      <c r="AH88" s="17">
        <v>0.0</v>
      </c>
    </row>
    <row r="89">
      <c r="A89" s="8" t="s">
        <v>492</v>
      </c>
      <c r="B89" s="8" t="s">
        <v>493</v>
      </c>
      <c r="C89" s="8">
        <v>1.0</v>
      </c>
      <c r="D89" s="8" t="s">
        <v>36</v>
      </c>
      <c r="E89" s="8" t="s">
        <v>37</v>
      </c>
      <c r="F89" s="44">
        <v>43747.0</v>
      </c>
      <c r="G89" s="44">
        <v>43801.0</v>
      </c>
      <c r="H89" s="8">
        <v>2019.0</v>
      </c>
      <c r="I89" s="8" t="s">
        <v>494</v>
      </c>
      <c r="J89" s="8" t="s">
        <v>383</v>
      </c>
      <c r="K89" s="8" t="s">
        <v>122</v>
      </c>
      <c r="L89" s="8" t="s">
        <v>495</v>
      </c>
      <c r="M89" s="10" t="s">
        <v>496</v>
      </c>
      <c r="N89" s="11">
        <v>62007.0</v>
      </c>
      <c r="O89" s="12" t="s">
        <v>43</v>
      </c>
      <c r="P89" s="8">
        <v>2014.0</v>
      </c>
      <c r="Q89" s="18">
        <v>0.6835</v>
      </c>
      <c r="R89" s="17">
        <v>0.2663</v>
      </c>
      <c r="S89" s="17">
        <v>0.0</v>
      </c>
      <c r="T89" s="17">
        <v>0.0445</v>
      </c>
      <c r="U89" s="17">
        <v>6.0E-4</v>
      </c>
      <c r="V89" s="17">
        <v>0.0051</v>
      </c>
      <c r="W89" s="17">
        <v>0.0</v>
      </c>
      <c r="X89" s="19">
        <v>0.0</v>
      </c>
      <c r="Y89" s="17"/>
      <c r="Z89" s="20"/>
      <c r="AA89" s="17">
        <v>0.6805</v>
      </c>
      <c r="AB89" s="17">
        <v>0.2686</v>
      </c>
      <c r="AC89" s="17">
        <v>0.0</v>
      </c>
      <c r="AD89" s="17">
        <v>0.0438</v>
      </c>
      <c r="AE89" s="17">
        <v>6.0E-4</v>
      </c>
      <c r="AF89" s="17">
        <v>0.0065</v>
      </c>
      <c r="AG89" s="17">
        <v>0.0</v>
      </c>
      <c r="AH89" s="17">
        <v>0.0</v>
      </c>
    </row>
    <row r="90">
      <c r="A90" s="8" t="s">
        <v>497</v>
      </c>
      <c r="B90" s="8" t="s">
        <v>498</v>
      </c>
      <c r="C90" s="8">
        <v>1.0</v>
      </c>
      <c r="D90" s="8" t="s">
        <v>36</v>
      </c>
      <c r="E90" s="8" t="s">
        <v>37</v>
      </c>
      <c r="F90" s="44">
        <v>43810.0</v>
      </c>
      <c r="G90" s="44">
        <v>43864.0</v>
      </c>
      <c r="H90" s="8">
        <v>2020.0</v>
      </c>
      <c r="I90" s="8" t="s">
        <v>499</v>
      </c>
      <c r="J90" s="8" t="s">
        <v>383</v>
      </c>
      <c r="K90" s="8" t="s">
        <v>500</v>
      </c>
      <c r="L90" s="8" t="s">
        <v>501</v>
      </c>
      <c r="M90" s="10" t="s">
        <v>502</v>
      </c>
      <c r="N90" s="11">
        <v>94565.0</v>
      </c>
      <c r="O90" s="12" t="s">
        <v>43</v>
      </c>
      <c r="P90" s="8">
        <v>2014.0</v>
      </c>
      <c r="Q90" s="18">
        <v>0.3326</v>
      </c>
      <c r="R90" s="17">
        <v>0.5526</v>
      </c>
      <c r="S90" s="17">
        <v>0.0</v>
      </c>
      <c r="T90" s="17">
        <v>0.1136</v>
      </c>
      <c r="U90" s="17">
        <v>5.0E-4</v>
      </c>
      <c r="V90" s="17">
        <v>7.0E-4</v>
      </c>
      <c r="W90" s="17">
        <v>0.0</v>
      </c>
      <c r="X90" s="19">
        <v>0.0</v>
      </c>
      <c r="Y90" s="17"/>
      <c r="Z90" s="20"/>
      <c r="AA90" s="17">
        <v>0.3306</v>
      </c>
      <c r="AB90" s="17">
        <v>0.5566</v>
      </c>
      <c r="AC90" s="17">
        <v>0.0</v>
      </c>
      <c r="AD90" s="17">
        <v>0.1114</v>
      </c>
      <c r="AE90" s="17">
        <v>5.0E-4</v>
      </c>
      <c r="AF90" s="17">
        <v>9.0E-4</v>
      </c>
      <c r="AG90" s="17">
        <v>0.0</v>
      </c>
      <c r="AH90" s="17">
        <v>0.0</v>
      </c>
    </row>
    <row r="91">
      <c r="A91" s="8" t="s">
        <v>503</v>
      </c>
      <c r="B91" s="8" t="s">
        <v>504</v>
      </c>
      <c r="C91" s="8">
        <v>1.0</v>
      </c>
      <c r="D91" s="8" t="s">
        <v>36</v>
      </c>
      <c r="E91" s="8" t="s">
        <v>37</v>
      </c>
      <c r="F91" s="44">
        <v>43790.0</v>
      </c>
      <c r="G91" s="44">
        <v>43807.0</v>
      </c>
      <c r="H91" s="8">
        <v>2019.0</v>
      </c>
      <c r="I91" s="8" t="s">
        <v>505</v>
      </c>
      <c r="J91" s="8" t="s">
        <v>54</v>
      </c>
      <c r="K91" s="8" t="s">
        <v>48</v>
      </c>
      <c r="L91" s="8" t="s">
        <v>506</v>
      </c>
      <c r="M91" s="10" t="s">
        <v>507</v>
      </c>
      <c r="N91" s="11">
        <v>118763.0</v>
      </c>
      <c r="O91" s="12" t="s">
        <v>43</v>
      </c>
      <c r="P91" s="8">
        <v>2014.0</v>
      </c>
      <c r="Q91" s="18">
        <v>0.0</v>
      </c>
      <c r="R91" s="17">
        <v>0.9996</v>
      </c>
      <c r="S91" s="17">
        <v>0.0</v>
      </c>
      <c r="T91" s="17">
        <v>0.0</v>
      </c>
      <c r="U91" s="17">
        <v>0.0</v>
      </c>
      <c r="V91" s="17">
        <v>4.0E-4</v>
      </c>
      <c r="W91" s="17">
        <v>0.0</v>
      </c>
      <c r="X91" s="19">
        <v>0.0</v>
      </c>
      <c r="Y91" s="17"/>
      <c r="Z91" s="20"/>
      <c r="AA91" s="17">
        <v>0.0</v>
      </c>
      <c r="AB91" s="17">
        <v>0.9995</v>
      </c>
      <c r="AC91" s="17">
        <v>0.0</v>
      </c>
      <c r="AD91" s="17">
        <v>0.0</v>
      </c>
      <c r="AE91" s="17">
        <v>0.0</v>
      </c>
      <c r="AF91" s="17">
        <v>5.0E-4</v>
      </c>
      <c r="AG91" s="17">
        <v>0.0</v>
      </c>
      <c r="AH91" s="17">
        <v>0.0</v>
      </c>
    </row>
    <row r="92">
      <c r="A92" s="32" t="s">
        <v>508</v>
      </c>
      <c r="B92" s="32" t="s">
        <v>509</v>
      </c>
      <c r="C92" s="32">
        <v>1.0</v>
      </c>
      <c r="D92" s="32" t="s">
        <v>36</v>
      </c>
      <c r="E92" s="32" t="s">
        <v>37</v>
      </c>
      <c r="F92" s="45">
        <v>43816.0</v>
      </c>
      <c r="G92" s="45">
        <v>43830.0</v>
      </c>
      <c r="H92" s="32">
        <v>2019.0</v>
      </c>
      <c r="I92" s="32" t="s">
        <v>510</v>
      </c>
      <c r="J92" s="32" t="s">
        <v>47</v>
      </c>
      <c r="K92" s="32" t="s">
        <v>48</v>
      </c>
      <c r="L92" s="32" t="s">
        <v>511</v>
      </c>
      <c r="M92" s="34" t="s">
        <v>512</v>
      </c>
      <c r="N92" s="35">
        <v>108679.0</v>
      </c>
      <c r="O92" s="36" t="s">
        <v>43</v>
      </c>
      <c r="P92" s="32">
        <v>2014.0</v>
      </c>
      <c r="Q92" s="38">
        <v>0.2926</v>
      </c>
      <c r="R92" s="39">
        <v>0.6796</v>
      </c>
      <c r="S92" s="39">
        <v>0.0</v>
      </c>
      <c r="T92" s="39">
        <v>0.0277</v>
      </c>
      <c r="U92" s="39">
        <v>1.0E-4</v>
      </c>
      <c r="V92" s="39">
        <v>0.0</v>
      </c>
      <c r="W92" s="39">
        <v>0.0</v>
      </c>
      <c r="X92" s="40">
        <v>0.0</v>
      </c>
      <c r="Y92" s="39"/>
      <c r="Z92" s="41"/>
      <c r="AA92" s="39">
        <v>0.2901</v>
      </c>
      <c r="AB92" s="39">
        <v>0.6827</v>
      </c>
      <c r="AC92" s="39">
        <v>0.0</v>
      </c>
      <c r="AD92" s="39">
        <v>0.0271</v>
      </c>
      <c r="AE92" s="39">
        <v>1.0E-4</v>
      </c>
      <c r="AF92" s="39">
        <v>0.0</v>
      </c>
      <c r="AG92" s="39">
        <v>0.0</v>
      </c>
      <c r="AH92" s="39">
        <v>0.0</v>
      </c>
    </row>
    <row r="93">
      <c r="A93" s="8" t="s">
        <v>513</v>
      </c>
      <c r="B93" s="8" t="s">
        <v>514</v>
      </c>
      <c r="C93" s="8">
        <v>1.0</v>
      </c>
      <c r="D93" s="8" t="s">
        <v>36</v>
      </c>
      <c r="E93" s="8" t="s">
        <v>37</v>
      </c>
      <c r="F93" s="44">
        <v>43901.0</v>
      </c>
      <c r="G93" s="44">
        <v>43927.0</v>
      </c>
      <c r="H93" s="8">
        <v>2020.0</v>
      </c>
      <c r="I93" s="8" t="s">
        <v>515</v>
      </c>
      <c r="J93" s="8" t="s">
        <v>383</v>
      </c>
      <c r="K93" s="8" t="s">
        <v>500</v>
      </c>
      <c r="L93" s="8" t="s">
        <v>516</v>
      </c>
      <c r="M93" s="10" t="s">
        <v>517</v>
      </c>
      <c r="N93" s="11">
        <v>81042.0</v>
      </c>
      <c r="O93" s="12" t="s">
        <v>43</v>
      </c>
      <c r="P93" s="8">
        <v>2014.0</v>
      </c>
      <c r="Q93" s="18">
        <v>0.3225</v>
      </c>
      <c r="R93" s="17">
        <v>0.5086</v>
      </c>
      <c r="S93" s="17">
        <v>0.0</v>
      </c>
      <c r="T93" s="17">
        <v>0.0038</v>
      </c>
      <c r="U93" s="17">
        <v>0.1544</v>
      </c>
      <c r="V93" s="17">
        <v>0.0106</v>
      </c>
      <c r="W93" s="17">
        <v>0.0</v>
      </c>
      <c r="X93" s="19">
        <v>0.0</v>
      </c>
      <c r="Y93" s="17"/>
      <c r="Z93" s="20"/>
      <c r="AA93" s="17">
        <v>0.3178</v>
      </c>
      <c r="AB93" s="17">
        <v>0.5078</v>
      </c>
      <c r="AC93" s="17">
        <v>0.0</v>
      </c>
      <c r="AD93" s="17">
        <v>0.0037</v>
      </c>
      <c r="AE93" s="17">
        <v>0.1573</v>
      </c>
      <c r="AF93" s="17">
        <v>0.0133</v>
      </c>
      <c r="AG93" s="17">
        <v>0.0</v>
      </c>
      <c r="AH93" s="17">
        <v>0.0</v>
      </c>
    </row>
    <row r="94">
      <c r="A94" s="8" t="s">
        <v>518</v>
      </c>
      <c r="B94" s="8" t="s">
        <v>519</v>
      </c>
      <c r="C94" s="8">
        <v>1.0</v>
      </c>
      <c r="D94" s="8" t="s">
        <v>36</v>
      </c>
      <c r="E94" s="8" t="s">
        <v>37</v>
      </c>
      <c r="F94" s="44">
        <v>43844.0</v>
      </c>
      <c r="G94" s="44">
        <v>43846.0</v>
      </c>
      <c r="H94" s="8">
        <v>2020.0</v>
      </c>
      <c r="I94" s="8" t="s">
        <v>520</v>
      </c>
      <c r="J94" s="8" t="s">
        <v>54</v>
      </c>
      <c r="K94" s="8" t="s">
        <v>424</v>
      </c>
      <c r="L94" s="8" t="s">
        <v>521</v>
      </c>
      <c r="M94" s="10" t="s">
        <v>522</v>
      </c>
      <c r="N94" s="11">
        <v>89632.0</v>
      </c>
      <c r="O94" s="12" t="s">
        <v>43</v>
      </c>
      <c r="P94" s="8">
        <v>2014.0</v>
      </c>
      <c r="Q94" s="18">
        <v>2.0E-4</v>
      </c>
      <c r="R94" s="17">
        <v>0.9994</v>
      </c>
      <c r="S94" s="17">
        <v>0.0</v>
      </c>
      <c r="T94" s="17">
        <v>1.0E-4</v>
      </c>
      <c r="U94" s="17">
        <v>3.0E-4</v>
      </c>
      <c r="V94" s="17">
        <v>0.0</v>
      </c>
      <c r="W94" s="17">
        <v>0.0</v>
      </c>
      <c r="X94" s="19">
        <v>0.0</v>
      </c>
      <c r="Y94" s="17"/>
      <c r="Z94" s="20"/>
      <c r="AA94" s="17">
        <v>2.0E-4</v>
      </c>
      <c r="AB94" s="17">
        <v>0.9994</v>
      </c>
      <c r="AC94" s="17">
        <v>0.0</v>
      </c>
      <c r="AD94" s="17">
        <v>1.0E-4</v>
      </c>
      <c r="AE94" s="17">
        <v>3.0E-4</v>
      </c>
      <c r="AF94" s="17">
        <v>0.0</v>
      </c>
      <c r="AG94" s="17">
        <v>0.0</v>
      </c>
      <c r="AH94" s="17">
        <v>0.0</v>
      </c>
    </row>
    <row r="95">
      <c r="A95" s="8" t="s">
        <v>523</v>
      </c>
      <c r="B95" s="8" t="s">
        <v>524</v>
      </c>
      <c r="C95" s="8">
        <v>1.0</v>
      </c>
      <c r="D95" s="8" t="s">
        <v>36</v>
      </c>
      <c r="E95" s="8" t="s">
        <v>37</v>
      </c>
      <c r="F95" s="44">
        <v>43889.0</v>
      </c>
      <c r="G95" s="44">
        <v>43890.0</v>
      </c>
      <c r="H95" s="8">
        <v>2020.0</v>
      </c>
      <c r="I95" s="8" t="s">
        <v>525</v>
      </c>
      <c r="J95" s="8" t="s">
        <v>47</v>
      </c>
      <c r="K95" s="8" t="s">
        <v>122</v>
      </c>
      <c r="L95" s="8" t="s">
        <v>526</v>
      </c>
      <c r="M95" s="10" t="s">
        <v>527</v>
      </c>
      <c r="N95" s="11">
        <v>89898.0</v>
      </c>
      <c r="O95" s="12" t="s">
        <v>43</v>
      </c>
      <c r="P95" s="8">
        <v>2014.0</v>
      </c>
      <c r="Q95" s="18">
        <v>2.0E-4</v>
      </c>
      <c r="R95" s="17">
        <v>0.9994</v>
      </c>
      <c r="S95" s="17">
        <v>0.0</v>
      </c>
      <c r="T95" s="17">
        <v>1.0E-4</v>
      </c>
      <c r="U95" s="17">
        <v>3.0E-4</v>
      </c>
      <c r="V95" s="17">
        <v>0.0</v>
      </c>
      <c r="W95" s="17">
        <v>0.0</v>
      </c>
      <c r="X95" s="19">
        <v>0.0</v>
      </c>
      <c r="Y95" s="17"/>
      <c r="Z95" s="20"/>
      <c r="AA95" s="17">
        <v>0.0013</v>
      </c>
      <c r="AB95" s="17">
        <v>0.998</v>
      </c>
      <c r="AC95" s="17">
        <v>0.0</v>
      </c>
      <c r="AD95" s="17">
        <v>6.0E-4</v>
      </c>
      <c r="AE95" s="17">
        <v>1.0E-4</v>
      </c>
      <c r="AF95" s="17">
        <v>0.0</v>
      </c>
      <c r="AG95" s="17">
        <v>0.0</v>
      </c>
      <c r="AH95" s="17">
        <v>0.0</v>
      </c>
    </row>
    <row r="96">
      <c r="A96" s="8" t="s">
        <v>528</v>
      </c>
      <c r="B96" s="8" t="s">
        <v>529</v>
      </c>
      <c r="C96" s="8">
        <v>1.0</v>
      </c>
      <c r="D96" s="8" t="s">
        <v>36</v>
      </c>
      <c r="E96" s="8" t="s">
        <v>37</v>
      </c>
      <c r="F96" s="44">
        <v>43903.0</v>
      </c>
      <c r="G96" s="44">
        <v>43905.0</v>
      </c>
      <c r="H96" s="8">
        <v>2020.0</v>
      </c>
      <c r="I96" s="8" t="s">
        <v>530</v>
      </c>
      <c r="J96" s="8" t="s">
        <v>54</v>
      </c>
      <c r="K96" s="8" t="s">
        <v>424</v>
      </c>
      <c r="L96" s="8" t="s">
        <v>531</v>
      </c>
      <c r="M96" s="10" t="s">
        <v>532</v>
      </c>
      <c r="N96" s="11">
        <v>58481.0</v>
      </c>
      <c r="O96" s="12" t="s">
        <v>43</v>
      </c>
      <c r="P96" s="8">
        <v>2014.0</v>
      </c>
      <c r="Q96" s="18">
        <v>0.2108</v>
      </c>
      <c r="R96" s="17">
        <v>0.448</v>
      </c>
      <c r="S96" s="17">
        <v>0.0</v>
      </c>
      <c r="T96" s="17">
        <v>0.2245</v>
      </c>
      <c r="U96" s="17">
        <v>0.0011</v>
      </c>
      <c r="V96" s="17">
        <v>0.1156</v>
      </c>
      <c r="W96" s="17">
        <v>0.0</v>
      </c>
      <c r="X96" s="19">
        <v>0.0</v>
      </c>
      <c r="Y96" s="17"/>
      <c r="Z96" s="20"/>
      <c r="AA96" s="17">
        <v>0.2038</v>
      </c>
      <c r="AB96" s="17">
        <v>0.439</v>
      </c>
      <c r="AC96" s="17">
        <v>0.0</v>
      </c>
      <c r="AD96" s="17">
        <v>0.2142</v>
      </c>
      <c r="AE96" s="17">
        <v>0.0011</v>
      </c>
      <c r="AF96" s="17">
        <v>0.1418</v>
      </c>
      <c r="AG96" s="17">
        <v>0.0</v>
      </c>
      <c r="AH96" s="17">
        <v>0.0</v>
      </c>
    </row>
    <row r="97">
      <c r="A97" s="32" t="s">
        <v>533</v>
      </c>
      <c r="B97" s="32" t="s">
        <v>534</v>
      </c>
      <c r="C97" s="32">
        <v>1.0</v>
      </c>
      <c r="D97" s="32" t="s">
        <v>36</v>
      </c>
      <c r="E97" s="32" t="s">
        <v>37</v>
      </c>
      <c r="F97" s="45">
        <v>43924.0</v>
      </c>
      <c r="G97" s="45">
        <v>43926.0</v>
      </c>
      <c r="H97" s="32">
        <v>2020.0</v>
      </c>
      <c r="I97" s="32" t="s">
        <v>535</v>
      </c>
      <c r="J97" s="32" t="s">
        <v>47</v>
      </c>
      <c r="K97" s="32" t="s">
        <v>122</v>
      </c>
      <c r="L97" s="32" t="s">
        <v>536</v>
      </c>
      <c r="M97" s="34" t="s">
        <v>537</v>
      </c>
      <c r="N97" s="35">
        <v>71885.0</v>
      </c>
      <c r="O97" s="36" t="s">
        <v>43</v>
      </c>
      <c r="P97" s="32">
        <v>2014.0</v>
      </c>
      <c r="Q97" s="38">
        <v>0.3376</v>
      </c>
      <c r="R97" s="39">
        <v>0.5722</v>
      </c>
      <c r="S97" s="39">
        <v>0.0</v>
      </c>
      <c r="T97" s="39">
        <v>0.087</v>
      </c>
      <c r="U97" s="39">
        <v>0.0032</v>
      </c>
      <c r="V97" s="39">
        <v>0.0</v>
      </c>
      <c r="W97" s="39">
        <v>0.0</v>
      </c>
      <c r="X97" s="40">
        <v>0.0</v>
      </c>
      <c r="Y97" s="39"/>
      <c r="Z97" s="41"/>
      <c r="AA97" s="39">
        <v>0.3354</v>
      </c>
      <c r="AB97" s="39">
        <v>0.576</v>
      </c>
      <c r="AC97" s="39">
        <v>0.0</v>
      </c>
      <c r="AD97" s="39">
        <v>0.0853</v>
      </c>
      <c r="AE97" s="39">
        <v>0.0033</v>
      </c>
      <c r="AF97" s="39">
        <v>0.0</v>
      </c>
      <c r="AG97" s="39">
        <v>0.0</v>
      </c>
      <c r="AH97" s="39">
        <v>0.0</v>
      </c>
    </row>
    <row r="98">
      <c r="A98" s="8" t="s">
        <v>538</v>
      </c>
      <c r="B98" s="8" t="s">
        <v>539</v>
      </c>
      <c r="C98" s="8">
        <v>1.0</v>
      </c>
      <c r="D98" s="8" t="s">
        <v>36</v>
      </c>
      <c r="E98" s="8" t="s">
        <v>37</v>
      </c>
      <c r="F98" s="44">
        <v>43955.0</v>
      </c>
      <c r="G98" s="44">
        <v>43956.0</v>
      </c>
      <c r="H98" s="8">
        <v>2020.0</v>
      </c>
      <c r="I98" s="8" t="s">
        <v>540</v>
      </c>
      <c r="J98" s="8" t="s">
        <v>47</v>
      </c>
      <c r="K98" s="8" t="s">
        <v>500</v>
      </c>
      <c r="L98" s="8" t="s">
        <v>541</v>
      </c>
      <c r="M98" s="10" t="s">
        <v>542</v>
      </c>
      <c r="N98" s="11">
        <v>56697.0</v>
      </c>
      <c r="O98" s="12" t="s">
        <v>43</v>
      </c>
      <c r="P98" s="8">
        <v>2014.0</v>
      </c>
      <c r="Q98" s="18">
        <v>2.0E-4</v>
      </c>
      <c r="R98" s="17">
        <v>0.8165</v>
      </c>
      <c r="S98" s="17">
        <v>0.0</v>
      </c>
      <c r="T98" s="17">
        <v>1.0E-4</v>
      </c>
      <c r="U98" s="17">
        <v>0.1833</v>
      </c>
      <c r="V98" s="17">
        <v>0.0</v>
      </c>
      <c r="W98" s="17">
        <v>0.0</v>
      </c>
      <c r="X98" s="19">
        <v>0.0</v>
      </c>
      <c r="Y98" s="17"/>
      <c r="Z98" s="20"/>
      <c r="AA98" s="17">
        <v>2.0E-4</v>
      </c>
      <c r="AB98" s="17">
        <v>0.8135</v>
      </c>
      <c r="AC98" s="17">
        <v>0.0</v>
      </c>
      <c r="AD98" s="17">
        <v>1.0E-4</v>
      </c>
      <c r="AE98" s="17">
        <v>0.1863</v>
      </c>
      <c r="AF98" s="17">
        <v>0.0</v>
      </c>
      <c r="AG98" s="17">
        <v>0.0</v>
      </c>
      <c r="AH98" s="17">
        <v>0.0</v>
      </c>
    </row>
    <row r="99">
      <c r="A99" s="8" t="s">
        <v>543</v>
      </c>
      <c r="B99" s="8" t="s">
        <v>544</v>
      </c>
      <c r="C99" s="8">
        <v>1.0</v>
      </c>
      <c r="D99" s="8" t="s">
        <v>36</v>
      </c>
      <c r="E99" s="8" t="s">
        <v>37</v>
      </c>
      <c r="F99" s="44">
        <v>43994.0</v>
      </c>
      <c r="G99" s="44">
        <v>44009.0</v>
      </c>
      <c r="H99" s="8">
        <v>2020.0</v>
      </c>
      <c r="I99" s="8" t="s">
        <v>545</v>
      </c>
      <c r="J99" s="8" t="s">
        <v>54</v>
      </c>
      <c r="K99" s="8" t="s">
        <v>48</v>
      </c>
      <c r="L99" s="8" t="s">
        <v>546</v>
      </c>
      <c r="M99" s="10" t="s">
        <v>547</v>
      </c>
      <c r="N99" s="11">
        <v>59364.0</v>
      </c>
      <c r="O99" s="12" t="s">
        <v>43</v>
      </c>
      <c r="P99" s="8">
        <v>2014.0</v>
      </c>
      <c r="Q99" s="18">
        <v>0.2278</v>
      </c>
      <c r="R99" s="17">
        <v>0.5579</v>
      </c>
      <c r="S99" s="17">
        <v>0.0</v>
      </c>
      <c r="T99" s="17">
        <v>0.1433</v>
      </c>
      <c r="U99" s="17">
        <v>0.0709</v>
      </c>
      <c r="V99" s="17">
        <v>1.0E-4</v>
      </c>
      <c r="W99" s="17">
        <v>0.0</v>
      </c>
      <c r="X99" s="19">
        <v>0.0</v>
      </c>
      <c r="Y99" s="17"/>
      <c r="Z99" s="20"/>
      <c r="AA99" s="17">
        <v>0.226</v>
      </c>
      <c r="AB99" s="17">
        <v>0.5609</v>
      </c>
      <c r="AC99" s="17">
        <v>0.0</v>
      </c>
      <c r="AD99" s="17">
        <v>0.1403</v>
      </c>
      <c r="AE99" s="17">
        <v>0.0727</v>
      </c>
      <c r="AF99" s="17">
        <v>1.0E-4</v>
      </c>
      <c r="AG99" s="17">
        <v>0.0</v>
      </c>
      <c r="AH99" s="17">
        <v>0.0</v>
      </c>
    </row>
    <row r="100">
      <c r="A100" s="8" t="s">
        <v>548</v>
      </c>
      <c r="B100" s="8" t="s">
        <v>549</v>
      </c>
      <c r="C100" s="8">
        <v>1.0</v>
      </c>
      <c r="D100" s="8" t="s">
        <v>36</v>
      </c>
      <c r="E100" s="8" t="s">
        <v>37</v>
      </c>
      <c r="F100" s="44">
        <v>44044.0</v>
      </c>
      <c r="G100" s="44">
        <v>44046.0</v>
      </c>
      <c r="H100" s="8">
        <v>2020.0</v>
      </c>
      <c r="I100" s="8" t="s">
        <v>550</v>
      </c>
      <c r="J100" s="8" t="s">
        <v>47</v>
      </c>
      <c r="K100" s="8" t="s">
        <v>48</v>
      </c>
      <c r="L100" s="8" t="s">
        <v>551</v>
      </c>
      <c r="M100" s="10" t="s">
        <v>552</v>
      </c>
      <c r="N100" s="11">
        <v>101273.0</v>
      </c>
      <c r="O100" s="12" t="s">
        <v>43</v>
      </c>
      <c r="P100" s="8">
        <v>2014.0</v>
      </c>
      <c r="Q100" s="18">
        <v>0.0885</v>
      </c>
      <c r="R100" s="17">
        <v>0.907</v>
      </c>
      <c r="S100" s="17">
        <v>0.0</v>
      </c>
      <c r="T100" s="17">
        <v>1.0E-4</v>
      </c>
      <c r="U100" s="17">
        <v>0.0042</v>
      </c>
      <c r="V100" s="17">
        <v>1.0E-4</v>
      </c>
      <c r="W100" s="17">
        <v>0.0</v>
      </c>
      <c r="X100" s="19">
        <v>0.0</v>
      </c>
      <c r="Y100" s="17"/>
      <c r="Z100" s="20"/>
      <c r="AA100" s="17">
        <v>0.0875</v>
      </c>
      <c r="AB100" s="17">
        <v>0.908</v>
      </c>
      <c r="AC100" s="17">
        <v>0.0</v>
      </c>
      <c r="AD100" s="17">
        <v>1.0E-4</v>
      </c>
      <c r="AE100" s="17">
        <v>0.0043</v>
      </c>
      <c r="AF100" s="17">
        <v>1.0E-4</v>
      </c>
      <c r="AG100" s="17">
        <v>0.0</v>
      </c>
      <c r="AH100" s="17">
        <v>0.0</v>
      </c>
    </row>
    <row r="101">
      <c r="A101" s="8" t="s">
        <v>553</v>
      </c>
      <c r="B101" s="8" t="s">
        <v>554</v>
      </c>
      <c r="C101" s="8">
        <v>1.0</v>
      </c>
      <c r="D101" s="8" t="s">
        <v>36</v>
      </c>
      <c r="E101" s="8" t="s">
        <v>37</v>
      </c>
      <c r="F101" s="44">
        <v>44073.0</v>
      </c>
      <c r="G101" s="44">
        <v>44084.0</v>
      </c>
      <c r="H101" s="8">
        <v>2020.0</v>
      </c>
      <c r="I101" s="8" t="s">
        <v>555</v>
      </c>
      <c r="J101" s="8" t="s">
        <v>47</v>
      </c>
      <c r="K101" s="8" t="s">
        <v>48</v>
      </c>
      <c r="L101" s="8" t="s">
        <v>556</v>
      </c>
      <c r="M101" s="10" t="s">
        <v>557</v>
      </c>
      <c r="N101" s="11">
        <v>80326.0</v>
      </c>
      <c r="O101" s="12" t="s">
        <v>43</v>
      </c>
      <c r="P101" s="8">
        <v>2014.0</v>
      </c>
      <c r="Q101" s="18">
        <v>0.0652</v>
      </c>
      <c r="R101" s="17">
        <v>0.6628</v>
      </c>
      <c r="S101" s="17">
        <v>0.0</v>
      </c>
      <c r="T101" s="17">
        <v>0.2719</v>
      </c>
      <c r="U101" s="17">
        <v>0.0</v>
      </c>
      <c r="V101" s="17">
        <v>0.0</v>
      </c>
      <c r="W101" s="17">
        <v>0.0</v>
      </c>
      <c r="X101" s="19">
        <v>0.0</v>
      </c>
      <c r="Y101" s="17"/>
      <c r="Z101" s="20"/>
      <c r="AA101" s="17">
        <v>0.0648</v>
      </c>
      <c r="AB101" s="17">
        <v>0.6682</v>
      </c>
      <c r="AC101" s="17">
        <v>0.0</v>
      </c>
      <c r="AD101" s="17">
        <v>0.2669</v>
      </c>
      <c r="AE101" s="17">
        <v>0.0</v>
      </c>
      <c r="AF101" s="17">
        <v>0.0</v>
      </c>
      <c r="AG101" s="17">
        <v>0.0</v>
      </c>
      <c r="AH101" s="17">
        <v>0.0</v>
      </c>
    </row>
    <row r="102">
      <c r="A102" s="8" t="s">
        <v>558</v>
      </c>
      <c r="B102" s="8" t="s">
        <v>559</v>
      </c>
      <c r="C102" s="8">
        <v>1.0</v>
      </c>
      <c r="D102" s="8" t="s">
        <v>36</v>
      </c>
      <c r="E102" s="8" t="s">
        <v>37</v>
      </c>
      <c r="F102" s="44">
        <v>44092.0</v>
      </c>
      <c r="G102" s="44">
        <v>44134.0</v>
      </c>
      <c r="H102" s="8">
        <v>2020.0</v>
      </c>
      <c r="I102" s="8" t="s">
        <v>560</v>
      </c>
      <c r="J102" s="8" t="s">
        <v>54</v>
      </c>
      <c r="K102" s="8" t="s">
        <v>48</v>
      </c>
      <c r="L102" s="8" t="s">
        <v>561</v>
      </c>
      <c r="M102" s="10" t="s">
        <v>562</v>
      </c>
      <c r="N102" s="11">
        <v>56334.0</v>
      </c>
      <c r="O102" s="12" t="s">
        <v>43</v>
      </c>
      <c r="P102" s="8">
        <v>2014.0</v>
      </c>
      <c r="Q102" s="18">
        <v>0.302</v>
      </c>
      <c r="R102" s="17">
        <v>0.1524</v>
      </c>
      <c r="S102" s="17">
        <v>0.0</v>
      </c>
      <c r="T102" s="17">
        <v>0.454</v>
      </c>
      <c r="U102" s="17">
        <v>0.0904</v>
      </c>
      <c r="V102" s="17">
        <v>0.0013</v>
      </c>
      <c r="W102" s="17">
        <v>0.0</v>
      </c>
      <c r="X102" s="19">
        <v>0.0</v>
      </c>
      <c r="Y102" s="17"/>
      <c r="Z102" s="20"/>
      <c r="AA102" s="17">
        <v>0.3022</v>
      </c>
      <c r="AB102" s="17">
        <v>0.1545</v>
      </c>
      <c r="AC102" s="17">
        <v>0.0</v>
      </c>
      <c r="AD102" s="17">
        <v>0.4482</v>
      </c>
      <c r="AE102" s="17">
        <v>0.0935</v>
      </c>
      <c r="AF102" s="17">
        <v>0.0016</v>
      </c>
      <c r="AG102" s="17">
        <v>0.0</v>
      </c>
      <c r="AH102" s="17">
        <v>0.0</v>
      </c>
    </row>
    <row r="103">
      <c r="A103" s="8" t="s">
        <v>563</v>
      </c>
      <c r="B103" s="8" t="s">
        <v>564</v>
      </c>
      <c r="C103" s="8">
        <v>1.0</v>
      </c>
      <c r="D103" s="8" t="s">
        <v>36</v>
      </c>
      <c r="E103" s="8" t="s">
        <v>37</v>
      </c>
      <c r="F103" s="44">
        <v>44124.0</v>
      </c>
      <c r="G103" s="44">
        <v>44126.0</v>
      </c>
      <c r="H103" s="8">
        <v>2020.0</v>
      </c>
      <c r="I103" s="8" t="s">
        <v>565</v>
      </c>
      <c r="J103" s="8" t="s">
        <v>47</v>
      </c>
      <c r="K103" s="8" t="s">
        <v>48</v>
      </c>
      <c r="L103" s="8" t="s">
        <v>566</v>
      </c>
      <c r="M103" s="10" t="s">
        <v>567</v>
      </c>
      <c r="N103" s="11">
        <v>133145.0</v>
      </c>
      <c r="O103" s="12" t="s">
        <v>43</v>
      </c>
      <c r="P103" s="8">
        <v>2014.0</v>
      </c>
      <c r="Q103" s="18">
        <v>0.0102</v>
      </c>
      <c r="R103" s="17">
        <v>0.776</v>
      </c>
      <c r="S103" s="17">
        <v>0.0</v>
      </c>
      <c r="T103" s="17">
        <v>0.102</v>
      </c>
      <c r="U103" s="17">
        <v>0.1117</v>
      </c>
      <c r="V103" s="17">
        <v>0.0</v>
      </c>
      <c r="W103" s="17">
        <v>0.0</v>
      </c>
      <c r="X103" s="19">
        <v>0.0</v>
      </c>
      <c r="Y103" s="17"/>
      <c r="Z103" s="20"/>
      <c r="AA103" s="17">
        <v>0.0101</v>
      </c>
      <c r="AB103" s="17">
        <v>0.7764</v>
      </c>
      <c r="AC103" s="17">
        <v>0.0</v>
      </c>
      <c r="AD103" s="17">
        <v>0.0994</v>
      </c>
      <c r="AE103" s="17">
        <v>0.114</v>
      </c>
      <c r="AF103" s="17">
        <v>0.0</v>
      </c>
      <c r="AG103" s="17">
        <v>0.0</v>
      </c>
      <c r="AH103" s="17">
        <v>0.0</v>
      </c>
    </row>
    <row r="104">
      <c r="A104" s="8" t="s">
        <v>568</v>
      </c>
      <c r="B104" s="8" t="s">
        <v>569</v>
      </c>
      <c r="C104" s="8">
        <v>1.0</v>
      </c>
      <c r="D104" s="8" t="s">
        <v>36</v>
      </c>
      <c r="E104" s="8" t="s">
        <v>37</v>
      </c>
      <c r="F104" s="44">
        <v>44203.0</v>
      </c>
      <c r="G104" s="44">
        <v>44204.0</v>
      </c>
      <c r="H104" s="8">
        <v>2021.0</v>
      </c>
      <c r="I104" s="8" t="s">
        <v>570</v>
      </c>
      <c r="J104" s="8" t="s">
        <v>47</v>
      </c>
      <c r="K104" s="8" t="s">
        <v>48</v>
      </c>
      <c r="L104" s="8" t="s">
        <v>571</v>
      </c>
      <c r="M104" s="10" t="s">
        <v>572</v>
      </c>
      <c r="N104" s="11">
        <v>100810.0</v>
      </c>
      <c r="O104" s="12" t="s">
        <v>43</v>
      </c>
      <c r="P104" s="8">
        <v>2014.0</v>
      </c>
      <c r="Q104" s="18">
        <v>4.0E-4</v>
      </c>
      <c r="R104" s="17">
        <v>0.968</v>
      </c>
      <c r="S104" s="17">
        <v>0.0</v>
      </c>
      <c r="T104" s="17">
        <v>2.0E-4</v>
      </c>
      <c r="U104" s="17">
        <v>0.0314</v>
      </c>
      <c r="V104" s="17">
        <v>0.0</v>
      </c>
      <c r="W104" s="17">
        <v>0.0</v>
      </c>
      <c r="X104" s="19">
        <v>0.0</v>
      </c>
      <c r="Y104" s="17"/>
      <c r="Z104" s="20"/>
      <c r="AA104" s="17">
        <v>4.0E-4</v>
      </c>
      <c r="AB104" s="17">
        <v>0.9674</v>
      </c>
      <c r="AC104" s="17">
        <v>0.0</v>
      </c>
      <c r="AD104" s="17">
        <v>2.0E-4</v>
      </c>
      <c r="AE104" s="17">
        <v>0.032</v>
      </c>
      <c r="AF104" s="17">
        <v>0.0</v>
      </c>
      <c r="AG104" s="17">
        <v>0.0</v>
      </c>
      <c r="AH104" s="17">
        <v>0.0</v>
      </c>
    </row>
    <row r="105">
      <c r="A105" s="8" t="s">
        <v>573</v>
      </c>
      <c r="B105" s="8" t="s">
        <v>574</v>
      </c>
      <c r="C105" s="8">
        <v>1.0</v>
      </c>
      <c r="D105" s="8" t="s">
        <v>36</v>
      </c>
      <c r="E105" s="8" t="s">
        <v>37</v>
      </c>
      <c r="F105" s="44">
        <v>44208.0</v>
      </c>
      <c r="G105" s="44">
        <v>44241.0</v>
      </c>
      <c r="H105" s="8">
        <v>2021.0</v>
      </c>
      <c r="I105" s="8" t="s">
        <v>575</v>
      </c>
      <c r="J105" s="8" t="s">
        <v>54</v>
      </c>
      <c r="K105" s="8" t="s">
        <v>500</v>
      </c>
      <c r="L105" s="8" t="s">
        <v>576</v>
      </c>
      <c r="M105" s="10" t="s">
        <v>577</v>
      </c>
      <c r="N105" s="11">
        <v>163910.0</v>
      </c>
      <c r="O105" s="12" t="s">
        <v>43</v>
      </c>
      <c r="P105" s="8">
        <v>2014.0</v>
      </c>
      <c r="Q105" s="18">
        <v>0.0047</v>
      </c>
      <c r="R105" s="17">
        <v>0.593</v>
      </c>
      <c r="S105" s="17">
        <v>0.0</v>
      </c>
      <c r="T105" s="17">
        <v>0.1149</v>
      </c>
      <c r="U105" s="17">
        <v>0.2673</v>
      </c>
      <c r="V105" s="17">
        <v>0.02</v>
      </c>
      <c r="W105" s="17">
        <v>0.0</v>
      </c>
      <c r="X105" s="19">
        <v>0.0</v>
      </c>
      <c r="Y105" s="17"/>
      <c r="Z105" s="20"/>
      <c r="AA105" s="17">
        <v>0.0046</v>
      </c>
      <c r="AB105" s="17">
        <v>0.5886</v>
      </c>
      <c r="AC105" s="17">
        <v>2.0E-4</v>
      </c>
      <c r="AD105" s="17">
        <v>0.1111</v>
      </c>
      <c r="AE105" s="17">
        <v>0.2707</v>
      </c>
      <c r="AF105" s="17">
        <v>0.0249</v>
      </c>
      <c r="AG105" s="17">
        <v>0.0</v>
      </c>
      <c r="AH105" s="17">
        <v>0.0</v>
      </c>
    </row>
    <row r="106">
      <c r="A106" s="8" t="s">
        <v>578</v>
      </c>
      <c r="B106" s="8" t="s">
        <v>579</v>
      </c>
      <c r="C106" s="8">
        <v>1.0</v>
      </c>
      <c r="D106" s="8" t="s">
        <v>36</v>
      </c>
      <c r="E106" s="8" t="s">
        <v>37</v>
      </c>
      <c r="F106" s="44">
        <v>44269.0</v>
      </c>
      <c r="G106" s="44">
        <v>44273.0</v>
      </c>
      <c r="H106" s="8">
        <v>2021.0</v>
      </c>
      <c r="I106" s="8" t="s">
        <v>580</v>
      </c>
      <c r="J106" s="8" t="s">
        <v>47</v>
      </c>
      <c r="K106" s="8" t="s">
        <v>48</v>
      </c>
      <c r="L106" s="8" t="s">
        <v>581</v>
      </c>
      <c r="M106" s="10" t="s">
        <v>582</v>
      </c>
      <c r="N106" s="11">
        <v>136658.0</v>
      </c>
      <c r="O106" s="12" t="s">
        <v>43</v>
      </c>
      <c r="P106" s="8">
        <v>2014.0</v>
      </c>
      <c r="Q106" s="18">
        <v>0.0</v>
      </c>
      <c r="R106" s="17">
        <v>0.8641</v>
      </c>
      <c r="S106" s="17">
        <v>0.0</v>
      </c>
      <c r="T106" s="17">
        <v>1.0E-4</v>
      </c>
      <c r="U106" s="17">
        <v>0.1357</v>
      </c>
      <c r="V106" s="17">
        <v>1.0E-4</v>
      </c>
      <c r="W106" s="17">
        <v>0.0</v>
      </c>
      <c r="X106" s="19">
        <v>0.0</v>
      </c>
      <c r="Y106" s="17"/>
      <c r="Z106" s="20"/>
      <c r="AA106" s="17">
        <v>0.0</v>
      </c>
      <c r="AB106" s="17">
        <v>0.8617</v>
      </c>
      <c r="AC106" s="17">
        <v>0.0</v>
      </c>
      <c r="AD106" s="17">
        <v>1.0E-4</v>
      </c>
      <c r="AE106" s="17">
        <v>0.1381</v>
      </c>
      <c r="AF106" s="17">
        <v>1.0E-4</v>
      </c>
      <c r="AG106" s="17">
        <v>0.0</v>
      </c>
      <c r="AH106" s="17">
        <v>0.0</v>
      </c>
    </row>
    <row r="107">
      <c r="A107" s="8" t="s">
        <v>583</v>
      </c>
      <c r="B107" s="8" t="s">
        <v>584</v>
      </c>
      <c r="C107" s="8">
        <v>1.0</v>
      </c>
      <c r="D107" s="8" t="s">
        <v>36</v>
      </c>
      <c r="E107" s="8" t="s">
        <v>37</v>
      </c>
      <c r="F107" s="44">
        <v>44072.0</v>
      </c>
      <c r="G107" s="44">
        <v>44157.0</v>
      </c>
      <c r="H107" s="8">
        <v>2020.0</v>
      </c>
      <c r="I107" s="8" t="s">
        <v>585</v>
      </c>
      <c r="J107" s="8" t="s">
        <v>47</v>
      </c>
      <c r="K107" s="8" t="s">
        <v>48</v>
      </c>
      <c r="L107" s="8" t="s">
        <v>586</v>
      </c>
      <c r="M107" s="10" t="s">
        <v>587</v>
      </c>
      <c r="N107" s="11">
        <v>4520.0</v>
      </c>
      <c r="O107" s="12" t="s">
        <v>43</v>
      </c>
      <c r="P107" s="8">
        <v>2014.0</v>
      </c>
      <c r="Q107" s="18">
        <v>0.0</v>
      </c>
      <c r="R107" s="17">
        <v>0.9686</v>
      </c>
      <c r="S107" s="17">
        <v>0.0</v>
      </c>
      <c r="T107" s="17">
        <v>1.0E-4</v>
      </c>
      <c r="U107" s="17">
        <v>0.0313</v>
      </c>
      <c r="V107" s="17">
        <v>0.0</v>
      </c>
      <c r="W107" s="17">
        <v>0.0</v>
      </c>
      <c r="X107" s="19">
        <v>0.0</v>
      </c>
      <c r="Y107" s="17"/>
      <c r="Z107" s="20"/>
      <c r="AA107" s="17">
        <v>0.0</v>
      </c>
      <c r="AB107" s="17">
        <v>0.968</v>
      </c>
      <c r="AC107" s="17">
        <v>0.0</v>
      </c>
      <c r="AD107" s="17">
        <v>1.0E-4</v>
      </c>
      <c r="AE107" s="17">
        <v>0.0319</v>
      </c>
      <c r="AF107" s="17">
        <v>0.0</v>
      </c>
      <c r="AG107" s="17">
        <v>0.0</v>
      </c>
      <c r="AH107" s="17">
        <v>0.0</v>
      </c>
    </row>
    <row r="108">
      <c r="A108" s="8" t="s">
        <v>588</v>
      </c>
      <c r="B108" s="8" t="s">
        <v>589</v>
      </c>
      <c r="C108" s="8">
        <v>1.0</v>
      </c>
      <c r="D108" s="8" t="s">
        <v>36</v>
      </c>
      <c r="E108" s="8" t="s">
        <v>37</v>
      </c>
      <c r="F108" s="44">
        <v>44335.0</v>
      </c>
      <c r="G108" s="44">
        <v>44349.0</v>
      </c>
      <c r="H108" s="8">
        <v>2021.0</v>
      </c>
      <c r="I108" s="8" t="s">
        <v>590</v>
      </c>
      <c r="J108" s="8" t="s">
        <v>47</v>
      </c>
      <c r="K108" s="8" t="s">
        <v>424</v>
      </c>
      <c r="L108" s="8" t="s">
        <v>591</v>
      </c>
      <c r="M108" s="10" t="s">
        <v>592</v>
      </c>
      <c r="N108" s="11">
        <v>93755.0</v>
      </c>
      <c r="O108" s="12" t="s">
        <v>43</v>
      </c>
      <c r="P108" s="8">
        <v>2014.0</v>
      </c>
      <c r="Q108" s="18">
        <v>0.3235</v>
      </c>
      <c r="R108" s="17">
        <v>0.6368</v>
      </c>
      <c r="S108" s="17">
        <v>0.0</v>
      </c>
      <c r="T108" s="17">
        <v>0.022</v>
      </c>
      <c r="U108" s="17">
        <v>0.0176</v>
      </c>
      <c r="V108" s="17">
        <v>0.0</v>
      </c>
      <c r="W108" s="17">
        <v>0.0</v>
      </c>
      <c r="X108" s="19">
        <v>0.0</v>
      </c>
      <c r="Y108" s="17"/>
      <c r="Z108" s="20"/>
      <c r="AA108" s="17">
        <v>0.3207</v>
      </c>
      <c r="AB108" s="17">
        <v>0.6396</v>
      </c>
      <c r="AC108" s="17">
        <v>0.0</v>
      </c>
      <c r="AD108" s="17">
        <v>0.0216</v>
      </c>
      <c r="AE108" s="17">
        <v>0.018</v>
      </c>
      <c r="AF108" s="17">
        <v>1.0E-4</v>
      </c>
      <c r="AG108" s="17">
        <v>0.0</v>
      </c>
      <c r="AH108" s="17">
        <v>0.0</v>
      </c>
    </row>
    <row r="109">
      <c r="A109" s="8" t="s">
        <v>593</v>
      </c>
      <c r="B109" s="8" t="s">
        <v>594</v>
      </c>
      <c r="C109" s="8">
        <v>1.0</v>
      </c>
      <c r="D109" s="8" t="s">
        <v>36</v>
      </c>
      <c r="E109" s="8" t="s">
        <v>37</v>
      </c>
      <c r="F109" s="44">
        <v>44376.0</v>
      </c>
      <c r="G109" s="44">
        <v>44377.0</v>
      </c>
      <c r="H109" s="8">
        <v>2021.0</v>
      </c>
      <c r="I109" s="8" t="s">
        <v>595</v>
      </c>
      <c r="J109" s="8" t="s">
        <v>47</v>
      </c>
      <c r="K109" s="8" t="s">
        <v>424</v>
      </c>
      <c r="L109" s="8" t="s">
        <v>596</v>
      </c>
      <c r="M109" s="10" t="s">
        <v>597</v>
      </c>
      <c r="N109" s="11">
        <v>72142.0</v>
      </c>
      <c r="O109" s="12" t="s">
        <v>43</v>
      </c>
      <c r="P109" s="8">
        <v>2014.0</v>
      </c>
      <c r="Q109" s="18">
        <v>1.0E-4</v>
      </c>
      <c r="R109" s="17">
        <v>0.9808</v>
      </c>
      <c r="S109" s="17">
        <v>0.0</v>
      </c>
      <c r="T109" s="17">
        <v>0.0</v>
      </c>
      <c r="U109" s="17">
        <v>0.0191</v>
      </c>
      <c r="V109" s="17">
        <v>0.0</v>
      </c>
      <c r="W109" s="17">
        <v>0.0</v>
      </c>
      <c r="X109" s="19">
        <v>0.0</v>
      </c>
      <c r="Y109" s="17"/>
      <c r="Z109" s="20"/>
      <c r="AA109" s="17">
        <v>1.0E-4</v>
      </c>
      <c r="AB109" s="17">
        <v>0.9804</v>
      </c>
      <c r="AC109" s="17">
        <v>0.0</v>
      </c>
      <c r="AD109" s="17">
        <v>0.0</v>
      </c>
      <c r="AE109" s="17">
        <v>0.0195</v>
      </c>
      <c r="AF109" s="17">
        <v>0.0</v>
      </c>
      <c r="AG109" s="17">
        <v>0.0</v>
      </c>
      <c r="AH109" s="17">
        <v>0.0</v>
      </c>
    </row>
    <row r="110">
      <c r="A110" s="8" t="s">
        <v>598</v>
      </c>
      <c r="B110" s="8" t="s">
        <v>599</v>
      </c>
      <c r="C110" s="8">
        <v>1.0</v>
      </c>
      <c r="D110" s="8" t="s">
        <v>36</v>
      </c>
      <c r="E110" s="8" t="s">
        <v>37</v>
      </c>
      <c r="F110" s="44">
        <v>44361.0</v>
      </c>
      <c r="G110" s="44">
        <v>44379.0</v>
      </c>
      <c r="H110" s="8">
        <v>2021.0</v>
      </c>
      <c r="I110" s="8" t="s">
        <v>600</v>
      </c>
      <c r="J110" s="8" t="s">
        <v>54</v>
      </c>
      <c r="K110" s="8" t="s">
        <v>500</v>
      </c>
      <c r="L110" s="8" t="s">
        <v>601</v>
      </c>
      <c r="M110" s="10" t="s">
        <v>602</v>
      </c>
      <c r="N110" s="11">
        <v>85100.0</v>
      </c>
      <c r="O110" s="12" t="s">
        <v>43</v>
      </c>
      <c r="P110" s="8">
        <v>2014.0</v>
      </c>
      <c r="Q110" s="18">
        <v>0.0468</v>
      </c>
      <c r="R110" s="17">
        <v>0.7258</v>
      </c>
      <c r="S110" s="17">
        <v>0.0</v>
      </c>
      <c r="T110" s="17">
        <v>0.1953</v>
      </c>
      <c r="U110" s="17">
        <v>0.0315</v>
      </c>
      <c r="V110" s="17">
        <v>6.0E-4</v>
      </c>
      <c r="W110" s="17">
        <v>0.0</v>
      </c>
      <c r="X110" s="19">
        <v>0.0</v>
      </c>
      <c r="Y110" s="17"/>
      <c r="Z110" s="20"/>
      <c r="AA110" s="17">
        <v>0.0465</v>
      </c>
      <c r="AB110" s="17">
        <v>0.7293</v>
      </c>
      <c r="AC110" s="17">
        <v>1.0E-4</v>
      </c>
      <c r="AD110" s="17">
        <v>0.191</v>
      </c>
      <c r="AE110" s="17">
        <v>0.0323</v>
      </c>
      <c r="AF110" s="17">
        <v>8.0E-4</v>
      </c>
      <c r="AG110" s="17">
        <v>0.0</v>
      </c>
      <c r="AH110" s="17">
        <v>0.0</v>
      </c>
    </row>
    <row r="111">
      <c r="A111" s="8" t="s">
        <v>603</v>
      </c>
      <c r="B111" s="8" t="s">
        <v>604</v>
      </c>
      <c r="C111" s="8">
        <v>1.0</v>
      </c>
      <c r="D111" s="8" t="s">
        <v>36</v>
      </c>
      <c r="E111" s="8" t="s">
        <v>37</v>
      </c>
      <c r="F111" s="44">
        <v>44450.0</v>
      </c>
      <c r="G111" s="44">
        <v>44452.0</v>
      </c>
      <c r="H111" s="8">
        <v>2021.0</v>
      </c>
      <c r="I111" s="8" t="s">
        <v>605</v>
      </c>
      <c r="J111" s="8" t="s">
        <v>47</v>
      </c>
      <c r="K111" s="8" t="s">
        <v>424</v>
      </c>
      <c r="L111" s="8" t="s">
        <v>606</v>
      </c>
      <c r="M111" s="10" t="s">
        <v>607</v>
      </c>
      <c r="N111" s="11">
        <v>93937.0</v>
      </c>
      <c r="O111" s="12" t="s">
        <v>43</v>
      </c>
      <c r="P111" s="8">
        <v>2014.0</v>
      </c>
      <c r="Q111" s="18">
        <v>0.0</v>
      </c>
      <c r="R111" s="17">
        <v>0.9724</v>
      </c>
      <c r="S111" s="17">
        <v>0.0</v>
      </c>
      <c r="T111" s="17">
        <v>0.0</v>
      </c>
      <c r="U111" s="17">
        <v>0.0275</v>
      </c>
      <c r="V111" s="17">
        <v>1.0E-4</v>
      </c>
      <c r="W111" s="17">
        <v>0.0</v>
      </c>
      <c r="X111" s="19">
        <v>0.0</v>
      </c>
      <c r="Y111" s="17"/>
      <c r="Z111" s="20"/>
      <c r="AA111" s="17">
        <v>0.0</v>
      </c>
      <c r="AB111" s="17">
        <v>0.9718</v>
      </c>
      <c r="AC111" s="17">
        <v>0.0</v>
      </c>
      <c r="AD111" s="17">
        <v>0.0</v>
      </c>
      <c r="AE111" s="17">
        <v>0.028</v>
      </c>
      <c r="AF111" s="17">
        <v>1.0E-4</v>
      </c>
      <c r="AG111" s="17">
        <v>0.0</v>
      </c>
      <c r="AH111" s="17">
        <v>0.0</v>
      </c>
    </row>
    <row r="112">
      <c r="A112" s="21" t="s">
        <v>608</v>
      </c>
      <c r="B112" s="21" t="s">
        <v>609</v>
      </c>
      <c r="C112" s="21">
        <v>1.0</v>
      </c>
      <c r="D112" s="21" t="s">
        <v>36</v>
      </c>
      <c r="E112" s="21" t="s">
        <v>37</v>
      </c>
      <c r="F112" s="46">
        <v>44488.0</v>
      </c>
      <c r="G112" s="46">
        <v>44491.0</v>
      </c>
      <c r="H112" s="21">
        <v>2021.0</v>
      </c>
      <c r="I112" s="21" t="s">
        <v>610</v>
      </c>
      <c r="J112" s="21" t="s">
        <v>47</v>
      </c>
      <c r="K112" s="21" t="s">
        <v>48</v>
      </c>
      <c r="L112" s="21" t="s">
        <v>611</v>
      </c>
      <c r="M112" s="23" t="s">
        <v>612</v>
      </c>
      <c r="N112" s="24">
        <v>73042.0</v>
      </c>
      <c r="O112" s="25" t="s">
        <v>43</v>
      </c>
      <c r="P112" s="21">
        <v>2014.0</v>
      </c>
      <c r="Q112" s="26">
        <v>0.3132</v>
      </c>
      <c r="R112" s="27">
        <v>0.6332</v>
      </c>
      <c r="S112" s="27">
        <v>0.0</v>
      </c>
      <c r="T112" s="27">
        <v>0.0</v>
      </c>
      <c r="U112" s="27">
        <v>0.0537</v>
      </c>
      <c r="V112" s="27">
        <v>0.0</v>
      </c>
      <c r="W112" s="27">
        <v>0.0</v>
      </c>
      <c r="X112" s="28">
        <v>0.0</v>
      </c>
      <c r="Y112" s="27"/>
      <c r="Z112" s="29"/>
      <c r="AA112" s="27">
        <v>0.31</v>
      </c>
      <c r="AB112" s="27">
        <v>0.6351</v>
      </c>
      <c r="AC112" s="27">
        <v>0.0</v>
      </c>
      <c r="AD112" s="27">
        <v>0.0</v>
      </c>
      <c r="AE112" s="27">
        <v>0.0549</v>
      </c>
      <c r="AF112" s="27">
        <v>0.0</v>
      </c>
      <c r="AG112" s="27">
        <v>0.0</v>
      </c>
      <c r="AH112" s="27">
        <v>0.0</v>
      </c>
    </row>
    <row r="113">
      <c r="A113" s="8" t="s">
        <v>613</v>
      </c>
      <c r="B113" s="8" t="s">
        <v>614</v>
      </c>
      <c r="C113" s="8">
        <v>1.0</v>
      </c>
      <c r="D113" s="8" t="s">
        <v>36</v>
      </c>
      <c r="E113" s="8" t="s">
        <v>37</v>
      </c>
      <c r="F113" s="44">
        <v>44555.0</v>
      </c>
      <c r="G113" s="44">
        <v>44557.0</v>
      </c>
      <c r="H113" s="8">
        <v>2021.0</v>
      </c>
      <c r="I113" s="8" t="s">
        <v>615</v>
      </c>
      <c r="J113" s="8" t="s">
        <v>47</v>
      </c>
      <c r="K113" s="8" t="s">
        <v>48</v>
      </c>
      <c r="L113" s="8" t="s">
        <v>616</v>
      </c>
      <c r="M113" s="10" t="s">
        <v>617</v>
      </c>
      <c r="N113" s="11">
        <v>89712.0</v>
      </c>
      <c r="O113" s="12" t="s">
        <v>43</v>
      </c>
      <c r="P113" s="8">
        <v>2014.0</v>
      </c>
      <c r="Q113" s="18">
        <v>1.0E-4</v>
      </c>
      <c r="R113" s="17">
        <v>0.9956</v>
      </c>
      <c r="S113" s="17">
        <v>0.0</v>
      </c>
      <c r="T113" s="17">
        <v>0.0</v>
      </c>
      <c r="U113" s="17">
        <v>0.0042</v>
      </c>
      <c r="V113" s="17">
        <v>0.0</v>
      </c>
      <c r="W113" s="17">
        <v>0.0</v>
      </c>
      <c r="X113" s="19">
        <v>0.0</v>
      </c>
      <c r="Y113" s="17"/>
      <c r="Z113" s="20"/>
      <c r="AA113" s="17">
        <v>1.0E-4</v>
      </c>
      <c r="AB113" s="17">
        <v>0.9955</v>
      </c>
      <c r="AC113" s="17">
        <v>0.0</v>
      </c>
      <c r="AD113" s="17">
        <v>0.0</v>
      </c>
      <c r="AE113" s="17">
        <v>0.0043</v>
      </c>
      <c r="AF113" s="17">
        <v>0.0</v>
      </c>
      <c r="AG113" s="17">
        <v>0.0</v>
      </c>
      <c r="AH113" s="17">
        <v>0.0</v>
      </c>
    </row>
    <row r="114">
      <c r="A114" s="8" t="s">
        <v>618</v>
      </c>
      <c r="B114" s="8" t="s">
        <v>619</v>
      </c>
      <c r="C114" s="8">
        <v>1.0</v>
      </c>
      <c r="D114" s="8" t="s">
        <v>36</v>
      </c>
      <c r="E114" s="8" t="s">
        <v>37</v>
      </c>
      <c r="F114" s="44">
        <v>44483.0</v>
      </c>
      <c r="G114" s="44">
        <v>44498.0</v>
      </c>
      <c r="H114" s="8">
        <v>2021.0</v>
      </c>
      <c r="I114" s="8" t="s">
        <v>620</v>
      </c>
      <c r="J114" s="8" t="s">
        <v>54</v>
      </c>
      <c r="K114" s="8" t="s">
        <v>500</v>
      </c>
      <c r="L114" s="8" t="s">
        <v>621</v>
      </c>
      <c r="M114" s="10" t="s">
        <v>622</v>
      </c>
      <c r="N114" s="11">
        <v>58191.0</v>
      </c>
      <c r="O114" s="12" t="s">
        <v>43</v>
      </c>
      <c r="P114" s="8">
        <v>2014.0</v>
      </c>
      <c r="Q114" s="18">
        <v>0.2801</v>
      </c>
      <c r="R114" s="17">
        <v>0.4443</v>
      </c>
      <c r="S114" s="17">
        <v>0.0</v>
      </c>
      <c r="T114" s="17">
        <v>0.2127</v>
      </c>
      <c r="U114" s="17">
        <v>0.0171</v>
      </c>
      <c r="V114" s="17">
        <v>0.0458</v>
      </c>
      <c r="W114" s="17">
        <v>0.0</v>
      </c>
      <c r="X114" s="19">
        <v>0.0</v>
      </c>
      <c r="Y114" s="17"/>
      <c r="Z114" s="20"/>
      <c r="AA114" s="17">
        <v>0.2757</v>
      </c>
      <c r="AB114" s="17">
        <v>0.4432</v>
      </c>
      <c r="AC114" s="17">
        <v>0.0</v>
      </c>
      <c r="AD114" s="17">
        <v>0.2065</v>
      </c>
      <c r="AE114" s="17">
        <v>0.0174</v>
      </c>
      <c r="AF114" s="17">
        <v>0.0572</v>
      </c>
      <c r="AG114" s="17">
        <v>0.0</v>
      </c>
      <c r="AH114" s="17">
        <v>0.0</v>
      </c>
    </row>
    <row r="115">
      <c r="A115" s="8" t="s">
        <v>623</v>
      </c>
      <c r="B115" s="8" t="s">
        <v>624</v>
      </c>
      <c r="C115" s="8">
        <v>1.0</v>
      </c>
      <c r="D115" s="8" t="s">
        <v>36</v>
      </c>
      <c r="E115" s="8" t="s">
        <v>37</v>
      </c>
      <c r="F115" s="44">
        <v>44638.0</v>
      </c>
      <c r="G115" s="44">
        <v>44640.0</v>
      </c>
      <c r="H115" s="8">
        <v>2022.0</v>
      </c>
      <c r="I115" s="8" t="s">
        <v>625</v>
      </c>
      <c r="J115" s="8" t="s">
        <v>47</v>
      </c>
      <c r="K115" s="8" t="s">
        <v>48</v>
      </c>
      <c r="L115" s="8" t="s">
        <v>626</v>
      </c>
      <c r="M115" s="10" t="s">
        <v>627</v>
      </c>
      <c r="N115" s="11">
        <v>75576.0</v>
      </c>
      <c r="O115" s="12" t="s">
        <v>43</v>
      </c>
      <c r="P115" s="8">
        <v>2014.0</v>
      </c>
      <c r="Q115" s="18">
        <v>0.0</v>
      </c>
      <c r="R115" s="17">
        <v>0.961</v>
      </c>
      <c r="S115" s="17">
        <v>0.0</v>
      </c>
      <c r="T115" s="17">
        <v>0.0</v>
      </c>
      <c r="U115" s="17">
        <v>0.0389</v>
      </c>
      <c r="V115" s="17">
        <v>1.0E-4</v>
      </c>
      <c r="W115" s="17">
        <v>0.0</v>
      </c>
      <c r="X115" s="19">
        <v>0.0</v>
      </c>
      <c r="Y115" s="17"/>
      <c r="Z115" s="20"/>
      <c r="AA115" s="17">
        <v>0.0</v>
      </c>
      <c r="AB115" s="17">
        <v>0.9603</v>
      </c>
      <c r="AC115" s="17">
        <v>0.0</v>
      </c>
      <c r="AD115" s="17">
        <v>0.0</v>
      </c>
      <c r="AE115" s="17">
        <v>0.0396</v>
      </c>
      <c r="AF115" s="17">
        <v>1.0E-4</v>
      </c>
      <c r="AG115" s="17">
        <v>0.0</v>
      </c>
      <c r="AH115" s="17">
        <v>0.0</v>
      </c>
    </row>
    <row r="116">
      <c r="A116" s="8" t="s">
        <v>628</v>
      </c>
      <c r="B116" s="8" t="s">
        <v>629</v>
      </c>
      <c r="C116" s="8">
        <v>1.0</v>
      </c>
      <c r="D116" s="8" t="s">
        <v>36</v>
      </c>
      <c r="E116" s="8" t="s">
        <v>37</v>
      </c>
      <c r="F116" s="44">
        <v>44673.0</v>
      </c>
      <c r="G116" s="44">
        <v>44675.0</v>
      </c>
      <c r="H116" s="8">
        <v>2022.0</v>
      </c>
      <c r="I116" s="8" t="s">
        <v>630</v>
      </c>
      <c r="J116" s="8" t="s">
        <v>54</v>
      </c>
      <c r="K116" s="8" t="s">
        <v>48</v>
      </c>
      <c r="L116" s="8" t="s">
        <v>631</v>
      </c>
      <c r="M116" s="10" t="s">
        <v>632</v>
      </c>
      <c r="N116" s="11">
        <v>76661.0</v>
      </c>
      <c r="O116" s="12" t="s">
        <v>43</v>
      </c>
      <c r="P116" s="8">
        <v>2014.0</v>
      </c>
      <c r="Q116" s="18">
        <v>0.0953</v>
      </c>
      <c r="R116" s="17">
        <v>0.6677</v>
      </c>
      <c r="S116" s="17">
        <v>0.0</v>
      </c>
      <c r="T116" s="17">
        <v>0.2003</v>
      </c>
      <c r="U116" s="17">
        <v>0.0365</v>
      </c>
      <c r="V116" s="17">
        <v>0.0</v>
      </c>
      <c r="W116" s="17">
        <v>0.0</v>
      </c>
      <c r="X116" s="19">
        <v>0.0</v>
      </c>
      <c r="Y116" s="17"/>
      <c r="Z116" s="20"/>
      <c r="AA116" s="17">
        <v>0.0946</v>
      </c>
      <c r="AB116" s="17">
        <v>0.6716</v>
      </c>
      <c r="AC116" s="17">
        <v>0.0</v>
      </c>
      <c r="AD116" s="17">
        <v>0.1962</v>
      </c>
      <c r="AE116" s="17">
        <v>0.0375</v>
      </c>
      <c r="AF116" s="17">
        <v>1.0E-4</v>
      </c>
      <c r="AG116" s="17">
        <v>0.0</v>
      </c>
      <c r="AH116" s="17">
        <v>0.0</v>
      </c>
    </row>
    <row r="117">
      <c r="A117" s="8" t="s">
        <v>633</v>
      </c>
      <c r="B117" s="8" t="s">
        <v>634</v>
      </c>
      <c r="C117" s="8">
        <v>1.0</v>
      </c>
      <c r="D117" s="8" t="s">
        <v>36</v>
      </c>
      <c r="E117" s="8" t="s">
        <v>37</v>
      </c>
      <c r="F117" s="44">
        <v>44717.0</v>
      </c>
      <c r="G117" s="44">
        <v>44719.0</v>
      </c>
      <c r="H117" s="8">
        <v>2022.0</v>
      </c>
      <c r="I117" s="8" t="s">
        <v>635</v>
      </c>
      <c r="J117" s="8" t="s">
        <v>47</v>
      </c>
      <c r="K117" s="8" t="s">
        <v>48</v>
      </c>
      <c r="L117" s="8" t="s">
        <v>636</v>
      </c>
      <c r="M117" s="10" t="s">
        <v>637</v>
      </c>
      <c r="N117" s="11">
        <v>114791.0</v>
      </c>
      <c r="O117" s="12" t="s">
        <v>43</v>
      </c>
      <c r="P117" s="8">
        <v>2014.0</v>
      </c>
      <c r="Q117" s="18">
        <v>0.0</v>
      </c>
      <c r="R117" s="17">
        <v>0.968</v>
      </c>
      <c r="S117" s="17">
        <v>0.0</v>
      </c>
      <c r="T117" s="17">
        <v>0.0</v>
      </c>
      <c r="U117" s="17">
        <v>0.0318</v>
      </c>
      <c r="V117" s="17">
        <v>1.0E-4</v>
      </c>
      <c r="W117" s="17">
        <v>0.0</v>
      </c>
      <c r="X117" s="19">
        <v>0.0</v>
      </c>
      <c r="Y117" s="17"/>
      <c r="Z117" s="20"/>
      <c r="AA117" s="17">
        <v>0.0</v>
      </c>
      <c r="AB117" s="17">
        <v>0.9674</v>
      </c>
      <c r="AC117" s="17">
        <v>0.0</v>
      </c>
      <c r="AD117" s="17">
        <v>0.0</v>
      </c>
      <c r="AE117" s="17">
        <v>0.0325</v>
      </c>
      <c r="AF117" s="17">
        <v>1.0E-4</v>
      </c>
      <c r="AG117" s="17">
        <v>0.0</v>
      </c>
      <c r="AH117" s="17">
        <v>0.0</v>
      </c>
    </row>
    <row r="118">
      <c r="A118" s="8" t="s">
        <v>638</v>
      </c>
      <c r="B118" s="8" t="s">
        <v>639</v>
      </c>
      <c r="C118" s="8">
        <v>1.0</v>
      </c>
      <c r="D118" s="8" t="s">
        <v>36</v>
      </c>
      <c r="E118" s="8" t="s">
        <v>37</v>
      </c>
      <c r="F118" s="44">
        <v>44811.0</v>
      </c>
      <c r="G118" s="44">
        <v>44840.0</v>
      </c>
      <c r="H118" s="8">
        <v>2022.0</v>
      </c>
      <c r="I118" s="8" t="s">
        <v>640</v>
      </c>
      <c r="J118" s="8" t="s">
        <v>47</v>
      </c>
      <c r="K118" s="8" t="s">
        <v>48</v>
      </c>
      <c r="L118" s="8" t="s">
        <v>641</v>
      </c>
      <c r="M118" s="10" t="s">
        <v>642</v>
      </c>
      <c r="N118" s="11">
        <v>129471.0</v>
      </c>
      <c r="O118" s="12" t="s">
        <v>43</v>
      </c>
      <c r="P118" s="8">
        <v>2014.0</v>
      </c>
      <c r="Q118" s="18">
        <v>0.1326</v>
      </c>
      <c r="R118" s="17">
        <v>0.7165</v>
      </c>
      <c r="S118" s="17">
        <v>0.0</v>
      </c>
      <c r="T118" s="17">
        <v>0.0036</v>
      </c>
      <c r="U118" s="17">
        <v>0.1472</v>
      </c>
      <c r="V118" s="17">
        <v>0.0</v>
      </c>
      <c r="W118" s="17">
        <v>0.0</v>
      </c>
      <c r="X118" s="19">
        <v>0.0</v>
      </c>
      <c r="Y118" s="17"/>
      <c r="Z118" s="20"/>
      <c r="AA118" s="17">
        <v>0.1308</v>
      </c>
      <c r="AB118" s="17">
        <v>0.7157</v>
      </c>
      <c r="AC118" s="17">
        <v>0.0</v>
      </c>
      <c r="AD118" s="17">
        <v>0.0035</v>
      </c>
      <c r="AE118" s="17">
        <v>0.15</v>
      </c>
      <c r="AF118" s="17">
        <v>0.0</v>
      </c>
      <c r="AG118" s="17">
        <v>0.0</v>
      </c>
      <c r="AH118" s="17">
        <v>0.0</v>
      </c>
    </row>
    <row r="119">
      <c r="A119" s="8" t="s">
        <v>643</v>
      </c>
      <c r="B119" s="8" t="s">
        <v>644</v>
      </c>
      <c r="C119" s="8">
        <v>1.0</v>
      </c>
      <c r="D119" s="8" t="s">
        <v>36</v>
      </c>
      <c r="E119" s="8" t="s">
        <v>37</v>
      </c>
      <c r="F119" s="44">
        <v>44823.0</v>
      </c>
      <c r="G119" s="44">
        <v>44845.0</v>
      </c>
      <c r="H119" s="8">
        <v>2022.0</v>
      </c>
      <c r="I119" s="8" t="s">
        <v>645</v>
      </c>
      <c r="J119" s="8" t="s">
        <v>54</v>
      </c>
      <c r="K119" s="8" t="s">
        <v>48</v>
      </c>
      <c r="L119" s="8" t="s">
        <v>646</v>
      </c>
      <c r="M119" s="10" t="s">
        <v>647</v>
      </c>
      <c r="N119" s="11">
        <v>52817.0</v>
      </c>
      <c r="O119" s="12" t="s">
        <v>43</v>
      </c>
      <c r="P119" s="8">
        <v>2014.0</v>
      </c>
      <c r="Q119" s="18">
        <v>0.1228</v>
      </c>
      <c r="R119" s="17">
        <v>0.0803</v>
      </c>
      <c r="S119" s="17">
        <v>0.0</v>
      </c>
      <c r="T119" s="17">
        <v>0.716</v>
      </c>
      <c r="U119" s="17">
        <v>0.0713</v>
      </c>
      <c r="V119" s="17">
        <v>0.0097</v>
      </c>
      <c r="W119" s="17">
        <v>0.0</v>
      </c>
      <c r="X119" s="19">
        <v>0.0</v>
      </c>
      <c r="Y119" s="17"/>
      <c r="Z119" s="20"/>
      <c r="AA119" s="17">
        <v>0.1232</v>
      </c>
      <c r="AB119" s="17">
        <v>0.0816</v>
      </c>
      <c r="AC119" s="17">
        <v>0.0</v>
      </c>
      <c r="AD119" s="17">
        <v>0.7089</v>
      </c>
      <c r="AE119" s="17">
        <v>0.074</v>
      </c>
      <c r="AF119" s="17">
        <v>0.0123</v>
      </c>
      <c r="AG119" s="17">
        <v>0.0</v>
      </c>
      <c r="AH119" s="17">
        <v>0.0</v>
      </c>
    </row>
    <row r="120">
      <c r="A120" s="8" t="s">
        <v>648</v>
      </c>
      <c r="B120" s="8" t="s">
        <v>649</v>
      </c>
      <c r="C120" s="8">
        <v>1.0</v>
      </c>
      <c r="D120" s="8" t="s">
        <v>36</v>
      </c>
      <c r="E120" s="8" t="s">
        <v>37</v>
      </c>
      <c r="F120" s="44">
        <v>44894.0</v>
      </c>
      <c r="G120" s="44">
        <v>44933.0</v>
      </c>
      <c r="H120" s="8">
        <v>2023.0</v>
      </c>
      <c r="I120" s="8" t="s">
        <v>650</v>
      </c>
      <c r="J120" s="8" t="s">
        <v>47</v>
      </c>
      <c r="K120" s="8" t="s">
        <v>48</v>
      </c>
      <c r="L120" s="8" t="s">
        <v>651</v>
      </c>
      <c r="M120" s="10" t="s">
        <v>652</v>
      </c>
      <c r="N120" s="11">
        <v>132823.0</v>
      </c>
      <c r="O120" s="12" t="s">
        <v>43</v>
      </c>
      <c r="P120" s="8">
        <v>2014.0</v>
      </c>
      <c r="Q120" s="18">
        <v>0.0</v>
      </c>
      <c r="R120" s="17">
        <v>0.8898</v>
      </c>
      <c r="S120" s="17">
        <v>0.0</v>
      </c>
      <c r="T120" s="17">
        <v>4.0E-4</v>
      </c>
      <c r="U120" s="17">
        <v>0.1099</v>
      </c>
      <c r="V120" s="17">
        <v>0.0</v>
      </c>
      <c r="W120" s="17">
        <v>0.0</v>
      </c>
      <c r="X120" s="19">
        <v>0.0</v>
      </c>
      <c r="Y120" s="17"/>
      <c r="Z120" s="20"/>
      <c r="AA120" s="17">
        <v>0.0</v>
      </c>
      <c r="AB120" s="17">
        <v>0.8878</v>
      </c>
      <c r="AC120" s="17">
        <v>0.0</v>
      </c>
      <c r="AD120" s="17">
        <v>3.0E-4</v>
      </c>
      <c r="AE120" s="17">
        <v>0.1119</v>
      </c>
      <c r="AF120" s="17">
        <v>0.0</v>
      </c>
      <c r="AG120" s="17">
        <v>0.0</v>
      </c>
      <c r="AH120" s="17">
        <v>0.0</v>
      </c>
    </row>
    <row r="121">
      <c r="A121" s="8" t="s">
        <v>653</v>
      </c>
      <c r="B121" s="8" t="s">
        <v>654</v>
      </c>
      <c r="C121" s="8">
        <v>1.0</v>
      </c>
      <c r="D121" s="8" t="s">
        <v>36</v>
      </c>
      <c r="E121" s="8" t="s">
        <v>37</v>
      </c>
      <c r="F121" s="44">
        <v>45032.0</v>
      </c>
      <c r="G121" s="44">
        <v>45034.0</v>
      </c>
      <c r="H121" s="8">
        <v>2023.0</v>
      </c>
      <c r="I121" s="8" t="s">
        <v>655</v>
      </c>
      <c r="J121" s="8" t="s">
        <v>47</v>
      </c>
      <c r="K121" s="8" t="s">
        <v>500</v>
      </c>
      <c r="L121" s="8" t="s">
        <v>656</v>
      </c>
      <c r="M121" s="10" t="s">
        <v>657</v>
      </c>
      <c r="N121" s="11">
        <v>86994.0</v>
      </c>
      <c r="O121" s="12" t="s">
        <v>43</v>
      </c>
      <c r="P121" s="8">
        <v>2014.0</v>
      </c>
      <c r="Q121" s="18">
        <v>3.0E-4</v>
      </c>
      <c r="R121" s="17">
        <v>0.9984</v>
      </c>
      <c r="S121" s="17">
        <v>0.0</v>
      </c>
      <c r="T121" s="17">
        <v>0.0</v>
      </c>
      <c r="U121" s="17">
        <v>0.0012</v>
      </c>
      <c r="V121" s="17">
        <v>0.0</v>
      </c>
      <c r="W121" s="17">
        <v>0.0</v>
      </c>
      <c r="X121" s="19">
        <v>0.0</v>
      </c>
      <c r="Y121" s="17"/>
      <c r="Z121" s="20"/>
      <c r="AA121" s="17">
        <v>3.0E-4</v>
      </c>
      <c r="AB121" s="17">
        <v>0.9984</v>
      </c>
      <c r="AC121" s="17">
        <v>0.0</v>
      </c>
      <c r="AD121" s="17">
        <v>0.0</v>
      </c>
      <c r="AE121" s="17">
        <v>0.0012</v>
      </c>
      <c r="AF121" s="17">
        <v>0.0</v>
      </c>
      <c r="AG121" s="17">
        <v>0.0</v>
      </c>
      <c r="AH121" s="17">
        <v>0.0</v>
      </c>
    </row>
    <row r="122">
      <c r="A122" s="8" t="s">
        <v>658</v>
      </c>
      <c r="B122" s="8" t="s">
        <v>659</v>
      </c>
      <c r="C122" s="8">
        <v>1.0</v>
      </c>
      <c r="D122" s="8" t="s">
        <v>36</v>
      </c>
      <c r="E122" s="8" t="s">
        <v>37</v>
      </c>
      <c r="F122" s="44">
        <v>44994.0</v>
      </c>
      <c r="G122" s="44">
        <v>45005.0</v>
      </c>
      <c r="H122" s="8">
        <v>2023.0</v>
      </c>
      <c r="I122" s="8" t="s">
        <v>660</v>
      </c>
      <c r="J122" s="8" t="s">
        <v>54</v>
      </c>
      <c r="K122" s="8" t="s">
        <v>48</v>
      </c>
      <c r="L122" s="8" t="s">
        <v>661</v>
      </c>
      <c r="M122" s="10" t="s">
        <v>662</v>
      </c>
      <c r="N122" s="11">
        <v>71350.0</v>
      </c>
      <c r="O122" s="12" t="s">
        <v>43</v>
      </c>
      <c r="P122" s="8">
        <v>2014.0</v>
      </c>
      <c r="Q122" s="18">
        <v>0.6363</v>
      </c>
      <c r="R122" s="17">
        <v>0.3447</v>
      </c>
      <c r="S122" s="17">
        <v>0.0</v>
      </c>
      <c r="T122" s="17">
        <v>0.0058</v>
      </c>
      <c r="U122" s="17">
        <v>0.0131</v>
      </c>
      <c r="V122" s="17">
        <v>1.0E-4</v>
      </c>
      <c r="W122" s="17">
        <v>0.0</v>
      </c>
      <c r="X122" s="19">
        <v>0.0</v>
      </c>
      <c r="Y122" s="17"/>
      <c r="Z122" s="20"/>
      <c r="AA122" s="17">
        <v>0.6331</v>
      </c>
      <c r="AB122" s="17">
        <v>0.3475</v>
      </c>
      <c r="AC122" s="17">
        <v>0.0</v>
      </c>
      <c r="AD122" s="17">
        <v>0.0057</v>
      </c>
      <c r="AE122" s="17">
        <v>0.0135</v>
      </c>
      <c r="AF122" s="17">
        <v>2.0E-4</v>
      </c>
      <c r="AG122" s="17">
        <v>0.0</v>
      </c>
      <c r="AH122" s="17">
        <v>0.0</v>
      </c>
    </row>
    <row r="123">
      <c r="A123" s="8" t="s">
        <v>663</v>
      </c>
      <c r="B123" s="8" t="s">
        <v>664</v>
      </c>
      <c r="C123" s="8">
        <v>1.0</v>
      </c>
      <c r="D123" s="8" t="s">
        <v>36</v>
      </c>
      <c r="E123" s="8" t="s">
        <v>37</v>
      </c>
      <c r="F123" s="44">
        <v>45090.0</v>
      </c>
      <c r="G123" s="44">
        <v>45093.0</v>
      </c>
      <c r="H123" s="8">
        <v>2023.0</v>
      </c>
      <c r="I123" s="8" t="s">
        <v>665</v>
      </c>
      <c r="J123" s="8" t="s">
        <v>47</v>
      </c>
      <c r="K123" s="8" t="s">
        <v>500</v>
      </c>
      <c r="L123" s="8" t="s">
        <v>666</v>
      </c>
      <c r="M123" s="10" t="s">
        <v>667</v>
      </c>
      <c r="N123" s="11">
        <v>42364.0</v>
      </c>
      <c r="O123" s="12" t="s">
        <v>43</v>
      </c>
      <c r="P123" s="8">
        <v>2014.0</v>
      </c>
      <c r="Q123" s="13"/>
      <c r="R123" s="14"/>
      <c r="S123" s="14"/>
      <c r="T123" s="14"/>
      <c r="U123" s="14"/>
      <c r="V123" s="14"/>
      <c r="W123" s="14"/>
      <c r="X123" s="15"/>
      <c r="Y123" s="17" t="s">
        <v>668</v>
      </c>
      <c r="Z123" s="20" t="s">
        <v>669</v>
      </c>
      <c r="AA123" s="14"/>
      <c r="AB123" s="14"/>
      <c r="AC123" s="14"/>
      <c r="AD123" s="14"/>
      <c r="AE123" s="14"/>
      <c r="AF123" s="14"/>
      <c r="AG123" s="14"/>
      <c r="AH123" s="14"/>
    </row>
    <row r="124">
      <c r="A124" s="8" t="s">
        <v>670</v>
      </c>
      <c r="B124" s="8" t="s">
        <v>671</v>
      </c>
      <c r="C124" s="8">
        <v>1.0</v>
      </c>
      <c r="D124" s="8" t="s">
        <v>36</v>
      </c>
      <c r="E124" s="8" t="s">
        <v>37</v>
      </c>
      <c r="F124" s="44">
        <v>45124.0</v>
      </c>
      <c r="G124" s="44">
        <v>45143.0</v>
      </c>
      <c r="H124" s="8">
        <v>2023.0</v>
      </c>
      <c r="I124" s="8" t="s">
        <v>672</v>
      </c>
      <c r="J124" s="8" t="s">
        <v>54</v>
      </c>
      <c r="K124" s="8" t="s">
        <v>48</v>
      </c>
      <c r="L124" s="8" t="s">
        <v>673</v>
      </c>
      <c r="M124" s="10" t="s">
        <v>674</v>
      </c>
      <c r="N124" s="11">
        <v>41444.0</v>
      </c>
      <c r="O124" s="12" t="s">
        <v>43</v>
      </c>
      <c r="P124" s="8">
        <v>2014.0</v>
      </c>
      <c r="Q124" s="18">
        <v>0.2653</v>
      </c>
      <c r="R124" s="17">
        <v>0.4186</v>
      </c>
      <c r="S124" s="17">
        <v>0.0</v>
      </c>
      <c r="T124" s="17">
        <v>0.3149</v>
      </c>
      <c r="U124" s="17">
        <v>6.0E-4</v>
      </c>
      <c r="V124" s="17">
        <v>6.0E-4</v>
      </c>
      <c r="W124" s="17">
        <v>0.0</v>
      </c>
      <c r="X124" s="19">
        <v>0.0</v>
      </c>
      <c r="Y124" s="17"/>
      <c r="Z124" s="20"/>
      <c r="AA124" s="17">
        <v>0.2649</v>
      </c>
      <c r="AB124" s="17">
        <v>0.4235</v>
      </c>
      <c r="AC124" s="17">
        <v>0.0</v>
      </c>
      <c r="AD124" s="17">
        <v>0.3102</v>
      </c>
      <c r="AE124" s="17">
        <v>6.0E-4</v>
      </c>
      <c r="AF124" s="17">
        <v>8.0E-4</v>
      </c>
      <c r="AG124" s="17">
        <v>0.0</v>
      </c>
      <c r="AH124" s="17">
        <v>0.0</v>
      </c>
    </row>
    <row r="125">
      <c r="A125" s="8" t="s">
        <v>675</v>
      </c>
      <c r="B125" s="8" t="s">
        <v>676</v>
      </c>
      <c r="C125" s="8">
        <v>1.0</v>
      </c>
      <c r="D125" s="8" t="s">
        <v>36</v>
      </c>
      <c r="E125" s="8" t="s">
        <v>37</v>
      </c>
      <c r="F125" s="44">
        <v>45211.0</v>
      </c>
      <c r="G125" s="44">
        <v>45237.0</v>
      </c>
      <c r="H125" s="8">
        <v>2023.0</v>
      </c>
      <c r="I125" s="8" t="s">
        <v>677</v>
      </c>
      <c r="J125" s="8" t="s">
        <v>54</v>
      </c>
      <c r="K125" s="8" t="s">
        <v>48</v>
      </c>
      <c r="L125" s="8" t="s">
        <v>678</v>
      </c>
      <c r="M125" s="10" t="s">
        <v>679</v>
      </c>
      <c r="N125" s="11">
        <v>29969.0</v>
      </c>
      <c r="O125" s="12" t="s">
        <v>43</v>
      </c>
      <c r="P125" s="8">
        <v>2014.0</v>
      </c>
      <c r="Q125" s="18">
        <v>0.4538</v>
      </c>
      <c r="R125" s="17">
        <v>0.3788</v>
      </c>
      <c r="S125" s="17">
        <v>3.0E-4</v>
      </c>
      <c r="T125" s="17">
        <v>0.0233</v>
      </c>
      <c r="U125" s="17">
        <v>0.0</v>
      </c>
      <c r="V125" s="17">
        <v>0.1438</v>
      </c>
      <c r="W125" s="17">
        <v>0.0</v>
      </c>
      <c r="X125" s="19">
        <v>0.0</v>
      </c>
      <c r="Y125" s="17"/>
      <c r="Z125" s="20"/>
      <c r="AA125" s="17">
        <v>0.4344</v>
      </c>
      <c r="AB125" s="17">
        <v>0.3675</v>
      </c>
      <c r="AC125" s="17">
        <v>0.0015</v>
      </c>
      <c r="AD125" s="17">
        <v>0.022</v>
      </c>
      <c r="AE125" s="17">
        <v>0.0</v>
      </c>
      <c r="AF125" s="17">
        <v>0.1747</v>
      </c>
      <c r="AG125" s="17">
        <v>0.0</v>
      </c>
      <c r="AH125" s="17">
        <v>0.0</v>
      </c>
    </row>
    <row r="126">
      <c r="A126" s="8" t="s">
        <v>680</v>
      </c>
      <c r="B126" s="8" t="s">
        <v>681</v>
      </c>
      <c r="C126" s="8">
        <v>1.0</v>
      </c>
      <c r="D126" s="8" t="s">
        <v>36</v>
      </c>
      <c r="E126" s="8" t="s">
        <v>37</v>
      </c>
      <c r="F126" s="9">
        <v>41592.0</v>
      </c>
      <c r="G126" s="9">
        <v>41599.0</v>
      </c>
      <c r="H126" s="8">
        <v>2013.0</v>
      </c>
      <c r="I126" s="8" t="s">
        <v>682</v>
      </c>
      <c r="J126" s="8" t="s">
        <v>109</v>
      </c>
      <c r="K126" s="8" t="s">
        <v>110</v>
      </c>
      <c r="L126" s="8" t="s">
        <v>683</v>
      </c>
      <c r="M126" s="10" t="s">
        <v>684</v>
      </c>
      <c r="N126" s="11">
        <v>126155.0</v>
      </c>
      <c r="O126" s="12" t="s">
        <v>43</v>
      </c>
      <c r="P126" s="8">
        <v>2011.0</v>
      </c>
      <c r="Q126" s="18">
        <v>0.0</v>
      </c>
      <c r="R126" s="17">
        <v>0.9997</v>
      </c>
      <c r="S126" s="17">
        <v>0.0</v>
      </c>
      <c r="T126" s="17">
        <v>0.0</v>
      </c>
      <c r="U126" s="17">
        <v>2.0E-4</v>
      </c>
      <c r="V126" s="17">
        <v>1.0E-4</v>
      </c>
      <c r="W126" s="17">
        <v>0.0</v>
      </c>
      <c r="X126" s="19">
        <v>0.0</v>
      </c>
      <c r="Y126" s="17"/>
      <c r="Z126" s="20"/>
      <c r="AA126" s="17">
        <v>0.0</v>
      </c>
      <c r="AB126" s="17">
        <v>0.9996</v>
      </c>
      <c r="AC126" s="17">
        <v>0.0</v>
      </c>
      <c r="AD126" s="17">
        <v>0.0</v>
      </c>
      <c r="AE126" s="17">
        <v>2.0E-4</v>
      </c>
      <c r="AF126" s="17">
        <v>1.0E-4</v>
      </c>
      <c r="AG126" s="17">
        <v>0.0</v>
      </c>
      <c r="AH126" s="17">
        <v>0.0</v>
      </c>
    </row>
    <row r="127">
      <c r="A127" s="8" t="s">
        <v>685</v>
      </c>
      <c r="B127" s="8" t="s">
        <v>686</v>
      </c>
      <c r="C127" s="8">
        <v>1.0</v>
      </c>
      <c r="D127" s="8" t="s">
        <v>36</v>
      </c>
      <c r="E127" s="8" t="s">
        <v>37</v>
      </c>
      <c r="F127" s="9">
        <v>41316.0</v>
      </c>
      <c r="G127" s="9">
        <v>41481.0</v>
      </c>
      <c r="H127" s="8">
        <v>2013.0</v>
      </c>
      <c r="I127" s="8" t="s">
        <v>687</v>
      </c>
      <c r="J127" s="8" t="s">
        <v>383</v>
      </c>
      <c r="K127" s="8" t="s">
        <v>122</v>
      </c>
      <c r="L127" s="8" t="s">
        <v>688</v>
      </c>
      <c r="M127" s="10" t="s">
        <v>689</v>
      </c>
      <c r="N127" s="11">
        <v>93055.0</v>
      </c>
      <c r="O127" s="12" t="s">
        <v>43</v>
      </c>
      <c r="P127" s="8">
        <v>2011.0</v>
      </c>
      <c r="Q127" s="18">
        <v>0.1478</v>
      </c>
      <c r="R127" s="17">
        <v>0.8497</v>
      </c>
      <c r="S127" s="17">
        <v>0.0</v>
      </c>
      <c r="T127" s="17">
        <v>0.0012</v>
      </c>
      <c r="U127" s="17">
        <v>6.0E-4</v>
      </c>
      <c r="V127" s="17">
        <v>7.0E-4</v>
      </c>
      <c r="W127" s="17">
        <v>0.0</v>
      </c>
      <c r="X127" s="19">
        <v>0.0</v>
      </c>
      <c r="Y127" s="17"/>
      <c r="Z127" s="20"/>
      <c r="AA127" s="17">
        <v>0.1461</v>
      </c>
      <c r="AB127" s="17">
        <v>0.8512</v>
      </c>
      <c r="AC127" s="17">
        <v>0.0</v>
      </c>
      <c r="AD127" s="17">
        <v>0.0011</v>
      </c>
      <c r="AE127" s="17">
        <v>6.0E-4</v>
      </c>
      <c r="AF127" s="17">
        <v>8.0E-4</v>
      </c>
      <c r="AG127" s="17">
        <v>0.0</v>
      </c>
      <c r="AH127" s="17">
        <v>0.0</v>
      </c>
    </row>
    <row r="128">
      <c r="A128" s="21" t="s">
        <v>690</v>
      </c>
      <c r="B128" s="21" t="s">
        <v>691</v>
      </c>
      <c r="C128" s="21">
        <v>1.0</v>
      </c>
      <c r="D128" s="21" t="s">
        <v>36</v>
      </c>
      <c r="E128" s="21" t="s">
        <v>37</v>
      </c>
      <c r="F128" s="22">
        <v>41548.0</v>
      </c>
      <c r="G128" s="22">
        <v>41553.0</v>
      </c>
      <c r="H128" s="21">
        <v>2013.0</v>
      </c>
      <c r="I128" s="21" t="s">
        <v>692</v>
      </c>
      <c r="J128" s="21" t="s">
        <v>693</v>
      </c>
      <c r="K128" s="21" t="s">
        <v>122</v>
      </c>
      <c r="L128" s="21" t="s">
        <v>694</v>
      </c>
      <c r="M128" s="23" t="s">
        <v>695</v>
      </c>
      <c r="N128" s="24">
        <v>23276.0</v>
      </c>
      <c r="O128" s="25" t="s">
        <v>43</v>
      </c>
      <c r="P128" s="21">
        <v>2011.0</v>
      </c>
      <c r="Q128" s="26">
        <v>6.94712E-4</v>
      </c>
      <c r="R128" s="27">
        <v>0.0</v>
      </c>
      <c r="S128" s="27">
        <v>0.0</v>
      </c>
      <c r="T128" s="27">
        <v>0.995335382</v>
      </c>
      <c r="U128" s="27">
        <v>0.003581826</v>
      </c>
      <c r="V128" s="27">
        <v>3.8808E-4</v>
      </c>
      <c r="W128" s="27">
        <v>0.0</v>
      </c>
      <c r="X128" s="28">
        <v>0.0</v>
      </c>
      <c r="Y128" s="27"/>
      <c r="Z128" s="29"/>
      <c r="AA128" s="27">
        <v>7.0393E-4</v>
      </c>
      <c r="AB128" s="27">
        <v>0.0</v>
      </c>
      <c r="AC128" s="27">
        <v>0.0</v>
      </c>
      <c r="AD128" s="27">
        <v>0.995044937</v>
      </c>
      <c r="AE128" s="27">
        <v>0.003752074</v>
      </c>
      <c r="AF128" s="27">
        <v>4.99059E-4</v>
      </c>
      <c r="AG128" s="27">
        <v>0.0</v>
      </c>
      <c r="AH128" s="27">
        <v>0.0</v>
      </c>
    </row>
    <row r="129">
      <c r="A129" s="32" t="s">
        <v>696</v>
      </c>
      <c r="B129" s="32" t="s">
        <v>697</v>
      </c>
      <c r="C129" s="32">
        <v>1.0</v>
      </c>
      <c r="D129" s="32" t="s">
        <v>36</v>
      </c>
      <c r="E129" s="32" t="s">
        <v>37</v>
      </c>
      <c r="F129" s="33">
        <v>41570.0</v>
      </c>
      <c r="G129" s="33">
        <v>41575.0</v>
      </c>
      <c r="H129" s="32">
        <v>2013.0</v>
      </c>
      <c r="I129" s="32" t="s">
        <v>698</v>
      </c>
      <c r="J129" s="32" t="s">
        <v>693</v>
      </c>
      <c r="K129" s="32" t="s">
        <v>122</v>
      </c>
      <c r="L129" s="32" t="s">
        <v>699</v>
      </c>
      <c r="M129" s="34" t="s">
        <v>700</v>
      </c>
      <c r="N129" s="35">
        <v>46275.0</v>
      </c>
      <c r="O129" s="36" t="s">
        <v>43</v>
      </c>
      <c r="P129" s="32">
        <v>2011.0</v>
      </c>
      <c r="Q129" s="38">
        <v>4.18066E-5</v>
      </c>
      <c r="R129" s="39">
        <v>0.999629263</v>
      </c>
      <c r="S129" s="39">
        <v>0.0</v>
      </c>
      <c r="T129" s="39">
        <v>0.0</v>
      </c>
      <c r="U129" s="39">
        <v>2.23838E-4</v>
      </c>
      <c r="V129" s="39">
        <v>1.05093E-4</v>
      </c>
      <c r="W129" s="39">
        <v>0.0</v>
      </c>
      <c r="X129" s="40">
        <v>0.0</v>
      </c>
      <c r="Y129" s="39"/>
      <c r="Z129" s="41"/>
      <c r="AA129" s="39">
        <v>4.12549E-5</v>
      </c>
      <c r="AB129" s="39">
        <v>0.999598775</v>
      </c>
      <c r="AC129" s="39">
        <v>0.0</v>
      </c>
      <c r="AD129" s="39">
        <v>0.0</v>
      </c>
      <c r="AE129" s="39">
        <v>2.28353E-4</v>
      </c>
      <c r="AF129" s="39">
        <v>1.31616E-4</v>
      </c>
      <c r="AG129" s="39">
        <v>0.0</v>
      </c>
      <c r="AH129" s="39">
        <v>0.0</v>
      </c>
    </row>
    <row r="130">
      <c r="A130" s="8" t="s">
        <v>701</v>
      </c>
      <c r="B130" s="8" t="s">
        <v>702</v>
      </c>
      <c r="C130" s="8">
        <v>1.0</v>
      </c>
      <c r="D130" s="8" t="s">
        <v>36</v>
      </c>
      <c r="E130" s="8" t="s">
        <v>37</v>
      </c>
      <c r="F130" s="9">
        <v>41682.0</v>
      </c>
      <c r="G130" s="9">
        <v>41684.0</v>
      </c>
      <c r="H130" s="8">
        <v>2014.0</v>
      </c>
      <c r="I130" s="8" t="s">
        <v>703</v>
      </c>
      <c r="J130" s="8" t="s">
        <v>109</v>
      </c>
      <c r="K130" s="8" t="s">
        <v>133</v>
      </c>
      <c r="L130" s="8" t="s">
        <v>704</v>
      </c>
      <c r="M130" s="10" t="s">
        <v>705</v>
      </c>
      <c r="N130" s="11">
        <v>67490.0</v>
      </c>
      <c r="O130" s="12" t="s">
        <v>43</v>
      </c>
      <c r="P130" s="8">
        <v>2011.0</v>
      </c>
      <c r="Q130" s="18">
        <v>8.3585E-5</v>
      </c>
      <c r="R130" s="17">
        <v>0.999697201</v>
      </c>
      <c r="S130" s="17">
        <v>0.0</v>
      </c>
      <c r="T130" s="17">
        <v>0.0</v>
      </c>
      <c r="U130" s="17">
        <v>1.49175E-4</v>
      </c>
      <c r="V130" s="17">
        <v>7.00383E-5</v>
      </c>
      <c r="W130" s="17">
        <v>0.0</v>
      </c>
      <c r="X130" s="19">
        <v>0.0</v>
      </c>
      <c r="Y130" s="17"/>
      <c r="Z130" s="20"/>
      <c r="AA130" s="17">
        <v>8.24829E-5</v>
      </c>
      <c r="AB130" s="17">
        <v>0.999677615</v>
      </c>
      <c r="AC130" s="17">
        <v>0.0</v>
      </c>
      <c r="AD130" s="17">
        <v>0.0</v>
      </c>
      <c r="AE130" s="17">
        <v>1.52186E-4</v>
      </c>
      <c r="AF130" s="17">
        <v>8.77157E-5</v>
      </c>
      <c r="AG130" s="17">
        <v>0.0</v>
      </c>
      <c r="AH130" s="17">
        <v>0.0</v>
      </c>
    </row>
    <row r="131">
      <c r="A131" s="21" t="s">
        <v>706</v>
      </c>
      <c r="B131" s="21" t="s">
        <v>707</v>
      </c>
      <c r="C131" s="21">
        <v>1.0</v>
      </c>
      <c r="D131" s="21" t="s">
        <v>36</v>
      </c>
      <c r="E131" s="21" t="s">
        <v>37</v>
      </c>
      <c r="F131" s="22">
        <v>41581.0</v>
      </c>
      <c r="G131" s="22">
        <v>41586.0</v>
      </c>
      <c r="H131" s="21">
        <v>2013.0</v>
      </c>
      <c r="I131" s="21" t="s">
        <v>708</v>
      </c>
      <c r="J131" s="21" t="s">
        <v>693</v>
      </c>
      <c r="K131" s="21" t="s">
        <v>122</v>
      </c>
      <c r="L131" s="21" t="s">
        <v>709</v>
      </c>
      <c r="M131" s="23" t="s">
        <v>710</v>
      </c>
      <c r="N131" s="24">
        <v>24874.0</v>
      </c>
      <c r="O131" s="25" t="s">
        <v>43</v>
      </c>
      <c r="P131" s="21">
        <v>2011.0</v>
      </c>
      <c r="Q131" s="26">
        <v>0.999175733</v>
      </c>
      <c r="R131" s="27">
        <v>0.0</v>
      </c>
      <c r="S131" s="27">
        <v>8.24267E-4</v>
      </c>
      <c r="T131" s="27">
        <v>0.0</v>
      </c>
      <c r="U131" s="27">
        <v>0.0</v>
      </c>
      <c r="V131" s="27">
        <v>0.0</v>
      </c>
      <c r="W131" s="27">
        <v>0.0</v>
      </c>
      <c r="X131" s="28">
        <v>0.0</v>
      </c>
      <c r="Y131" s="27"/>
      <c r="Z131" s="29"/>
      <c r="AA131" s="27">
        <v>0.995820763</v>
      </c>
      <c r="AB131" s="27">
        <v>0.0</v>
      </c>
      <c r="AC131" s="27">
        <v>0.004179237</v>
      </c>
      <c r="AD131" s="27">
        <v>0.0</v>
      </c>
      <c r="AE131" s="27">
        <v>0.0</v>
      </c>
      <c r="AF131" s="27">
        <v>0.0</v>
      </c>
      <c r="AG131" s="27">
        <v>0.0</v>
      </c>
      <c r="AH131" s="27">
        <v>0.0</v>
      </c>
    </row>
    <row r="132">
      <c r="A132" s="8" t="s">
        <v>711</v>
      </c>
      <c r="B132" s="8" t="s">
        <v>712</v>
      </c>
      <c r="C132" s="8">
        <v>1.0</v>
      </c>
      <c r="D132" s="8" t="s">
        <v>36</v>
      </c>
      <c r="E132" s="8" t="s">
        <v>37</v>
      </c>
      <c r="F132" s="9">
        <v>41787.0</v>
      </c>
      <c r="G132" s="9">
        <v>41792.0</v>
      </c>
      <c r="H132" s="8">
        <v>2014.0</v>
      </c>
      <c r="I132" s="8" t="s">
        <v>713</v>
      </c>
      <c r="J132" s="8" t="s">
        <v>109</v>
      </c>
      <c r="K132" s="8" t="s">
        <v>133</v>
      </c>
      <c r="L132" s="8" t="s">
        <v>714</v>
      </c>
      <c r="M132" s="10" t="s">
        <v>715</v>
      </c>
      <c r="N132" s="11">
        <v>33214.0</v>
      </c>
      <c r="O132" s="12" t="s">
        <v>43</v>
      </c>
      <c r="P132" s="8">
        <v>2011.0</v>
      </c>
      <c r="Q132" s="18">
        <v>0.928300219</v>
      </c>
      <c r="R132" s="17">
        <v>0.0</v>
      </c>
      <c r="S132" s="17">
        <v>0.0</v>
      </c>
      <c r="T132" s="17">
        <v>0.071699781</v>
      </c>
      <c r="U132" s="17">
        <v>0.0</v>
      </c>
      <c r="V132" s="17">
        <v>0.0</v>
      </c>
      <c r="W132" s="17">
        <v>0.0</v>
      </c>
      <c r="X132" s="19">
        <v>0.0</v>
      </c>
      <c r="Y132" s="17"/>
      <c r="Z132" s="20"/>
      <c r="AA132" s="17">
        <v>0.929191798</v>
      </c>
      <c r="AB132" s="17">
        <v>0.0</v>
      </c>
      <c r="AC132" s="17">
        <v>0.0</v>
      </c>
      <c r="AD132" s="17">
        <v>0.070808202</v>
      </c>
      <c r="AE132" s="17">
        <v>0.0</v>
      </c>
      <c r="AF132" s="17">
        <v>0.0</v>
      </c>
      <c r="AG132" s="17">
        <v>0.0</v>
      </c>
      <c r="AH132" s="17">
        <v>0.0</v>
      </c>
    </row>
    <row r="133">
      <c r="A133" s="8" t="s">
        <v>716</v>
      </c>
      <c r="B133" s="8" t="s">
        <v>717</v>
      </c>
      <c r="C133" s="8">
        <v>1.0</v>
      </c>
      <c r="D133" s="8" t="s">
        <v>36</v>
      </c>
      <c r="E133" s="8" t="s">
        <v>37</v>
      </c>
      <c r="F133" s="9">
        <v>41577.0</v>
      </c>
      <c r="G133" s="9">
        <v>41581.0</v>
      </c>
      <c r="H133" s="8">
        <v>2013.0</v>
      </c>
      <c r="I133" s="8" t="s">
        <v>718</v>
      </c>
      <c r="J133" s="8" t="s">
        <v>102</v>
      </c>
      <c r="K133" s="8" t="s">
        <v>48</v>
      </c>
      <c r="L133" s="8" t="s">
        <v>719</v>
      </c>
      <c r="M133" s="10" t="s">
        <v>720</v>
      </c>
      <c r="N133" s="11">
        <v>113438.0</v>
      </c>
      <c r="O133" s="12" t="s">
        <v>43</v>
      </c>
      <c r="P133" s="8">
        <v>2011.0</v>
      </c>
      <c r="Q133" s="18">
        <v>4.21312E-5</v>
      </c>
      <c r="R133" s="17">
        <v>0.999957869</v>
      </c>
      <c r="S133" s="17">
        <v>0.0</v>
      </c>
      <c r="T133" s="17">
        <v>0.0</v>
      </c>
      <c r="U133" s="17">
        <v>0.0</v>
      </c>
      <c r="V133" s="17">
        <v>0.0</v>
      </c>
      <c r="W133" s="17">
        <v>0.0</v>
      </c>
      <c r="X133" s="19">
        <v>0.0</v>
      </c>
      <c r="Y133" s="17"/>
      <c r="Z133" s="20"/>
      <c r="AA133" s="17">
        <v>4.15765E-5</v>
      </c>
      <c r="AB133" s="17">
        <v>0.999958423</v>
      </c>
      <c r="AC133" s="17">
        <v>0.0</v>
      </c>
      <c r="AD133" s="17">
        <v>0.0</v>
      </c>
      <c r="AE133" s="17">
        <v>0.0</v>
      </c>
      <c r="AF133" s="17">
        <v>0.0</v>
      </c>
      <c r="AG133" s="17">
        <v>0.0</v>
      </c>
      <c r="AH133" s="17">
        <v>0.0</v>
      </c>
    </row>
    <row r="134">
      <c r="A134" s="21" t="s">
        <v>721</v>
      </c>
      <c r="B134" s="21" t="s">
        <v>722</v>
      </c>
      <c r="C134" s="21">
        <v>1.0</v>
      </c>
      <c r="D134" s="21" t="s">
        <v>36</v>
      </c>
      <c r="E134" s="21" t="s">
        <v>37</v>
      </c>
      <c r="F134" s="22">
        <v>41656.0</v>
      </c>
      <c r="G134" s="22">
        <v>41661.0</v>
      </c>
      <c r="H134" s="21">
        <v>2014.0</v>
      </c>
      <c r="I134" s="21" t="s">
        <v>723</v>
      </c>
      <c r="J134" s="21" t="s">
        <v>693</v>
      </c>
      <c r="K134" s="21" t="s">
        <v>122</v>
      </c>
      <c r="L134" s="21" t="s">
        <v>724</v>
      </c>
      <c r="M134" s="23" t="s">
        <v>725</v>
      </c>
      <c r="N134" s="24">
        <v>30587.0</v>
      </c>
      <c r="O134" s="25" t="s">
        <v>43</v>
      </c>
      <c r="P134" s="21">
        <v>2011.0</v>
      </c>
      <c r="Q134" s="26">
        <v>0.999081361</v>
      </c>
      <c r="R134" s="27">
        <v>0.0</v>
      </c>
      <c r="S134" s="27">
        <v>0.0</v>
      </c>
      <c r="T134" s="27">
        <v>9.18639E-4</v>
      </c>
      <c r="U134" s="27">
        <v>0.0</v>
      </c>
      <c r="V134" s="27">
        <v>0.0</v>
      </c>
      <c r="W134" s="27">
        <v>0.0</v>
      </c>
      <c r="X134" s="28">
        <v>0.0</v>
      </c>
      <c r="Y134" s="27"/>
      <c r="Z134" s="29"/>
      <c r="AA134" s="27">
        <v>0.999093644</v>
      </c>
      <c r="AB134" s="27">
        <v>0.0</v>
      </c>
      <c r="AC134" s="27">
        <v>0.0</v>
      </c>
      <c r="AD134" s="27">
        <v>9.06356E-4</v>
      </c>
      <c r="AE134" s="27">
        <v>0.0</v>
      </c>
      <c r="AF134" s="27">
        <v>0.0</v>
      </c>
      <c r="AG134" s="27">
        <v>0.0</v>
      </c>
      <c r="AH134" s="27">
        <v>0.0</v>
      </c>
    </row>
    <row r="135">
      <c r="A135" s="8" t="s">
        <v>726</v>
      </c>
      <c r="B135" s="8" t="s">
        <v>727</v>
      </c>
      <c r="C135" s="8">
        <v>1.0</v>
      </c>
      <c r="D135" s="8" t="s">
        <v>36</v>
      </c>
      <c r="E135" s="8" t="s">
        <v>37</v>
      </c>
      <c r="F135" s="9">
        <v>41601.0</v>
      </c>
      <c r="G135" s="9">
        <v>41653.0</v>
      </c>
      <c r="H135" s="8">
        <v>2014.0</v>
      </c>
      <c r="I135" s="8" t="s">
        <v>728</v>
      </c>
      <c r="J135" s="8" t="s">
        <v>383</v>
      </c>
      <c r="K135" s="8" t="s">
        <v>122</v>
      </c>
      <c r="L135" s="8" t="s">
        <v>729</v>
      </c>
      <c r="M135" s="10" t="s">
        <v>730</v>
      </c>
      <c r="N135" s="11">
        <v>191960.0</v>
      </c>
      <c r="O135" s="12" t="s">
        <v>43</v>
      </c>
      <c r="P135" s="8">
        <v>2011.0</v>
      </c>
      <c r="Q135" s="18">
        <v>2.68927E-5</v>
      </c>
      <c r="R135" s="17">
        <v>0.999973107</v>
      </c>
      <c r="S135" s="17">
        <v>0.0</v>
      </c>
      <c r="T135" s="17">
        <v>0.0</v>
      </c>
      <c r="U135" s="17">
        <v>0.0</v>
      </c>
      <c r="V135" s="17">
        <v>0.0</v>
      </c>
      <c r="W135" s="17">
        <v>0.0</v>
      </c>
      <c r="X135" s="19">
        <v>0.0</v>
      </c>
      <c r="Y135" s="17"/>
      <c r="Z135" s="20"/>
      <c r="AA135" s="17">
        <v>2.65386E-5</v>
      </c>
      <c r="AB135" s="17">
        <v>0.999973461</v>
      </c>
      <c r="AC135" s="17">
        <v>0.0</v>
      </c>
      <c r="AD135" s="17">
        <v>0.0</v>
      </c>
      <c r="AE135" s="17">
        <v>0.0</v>
      </c>
      <c r="AF135" s="17">
        <v>0.0</v>
      </c>
      <c r="AG135" s="17">
        <v>0.0</v>
      </c>
      <c r="AH135" s="17">
        <v>0.0</v>
      </c>
    </row>
    <row r="136">
      <c r="A136" s="21" t="s">
        <v>731</v>
      </c>
      <c r="B136" s="21" t="s">
        <v>732</v>
      </c>
      <c r="C136" s="21">
        <v>1.0</v>
      </c>
      <c r="D136" s="21" t="s">
        <v>36</v>
      </c>
      <c r="E136" s="21" t="s">
        <v>37</v>
      </c>
      <c r="F136" s="22">
        <v>41731.0</v>
      </c>
      <c r="G136" s="22">
        <v>41736.0</v>
      </c>
      <c r="H136" s="21">
        <v>2014.0</v>
      </c>
      <c r="I136" s="21" t="s">
        <v>733</v>
      </c>
      <c r="J136" s="21" t="s">
        <v>693</v>
      </c>
      <c r="K136" s="21" t="s">
        <v>122</v>
      </c>
      <c r="L136" s="21" t="s">
        <v>734</v>
      </c>
      <c r="M136" s="23" t="s">
        <v>735</v>
      </c>
      <c r="N136" s="24">
        <v>99696.0</v>
      </c>
      <c r="O136" s="25" t="s">
        <v>43</v>
      </c>
      <c r="P136" s="21">
        <v>2011.0</v>
      </c>
      <c r="Q136" s="26">
        <v>0.012763897</v>
      </c>
      <c r="R136" s="27">
        <v>0.976077727</v>
      </c>
      <c r="S136" s="27">
        <v>0.0</v>
      </c>
      <c r="T136" s="27">
        <v>0.0</v>
      </c>
      <c r="U136" s="27">
        <v>0.0075933</v>
      </c>
      <c r="V136" s="27">
        <v>0.003565077</v>
      </c>
      <c r="W136" s="27">
        <v>0.0</v>
      </c>
      <c r="X136" s="28">
        <v>0.0</v>
      </c>
      <c r="Y136" s="27"/>
      <c r="Z136" s="29"/>
      <c r="AA136" s="27">
        <v>0.012584701</v>
      </c>
      <c r="AB136" s="27">
        <v>0.975214415</v>
      </c>
      <c r="AC136" s="27">
        <v>0.0</v>
      </c>
      <c r="AD136" s="27">
        <v>0.0</v>
      </c>
      <c r="AE136" s="27">
        <v>0.007739852</v>
      </c>
      <c r="AF136" s="27">
        <v>0.004461032</v>
      </c>
      <c r="AG136" s="27">
        <v>0.0</v>
      </c>
      <c r="AH136" s="27">
        <v>0.0</v>
      </c>
    </row>
    <row r="137">
      <c r="A137" s="8" t="s">
        <v>736</v>
      </c>
      <c r="B137" s="8" t="s">
        <v>737</v>
      </c>
      <c r="C137" s="8">
        <v>1.0</v>
      </c>
      <c r="D137" s="8" t="s">
        <v>36</v>
      </c>
      <c r="E137" s="8" t="s">
        <v>37</v>
      </c>
      <c r="F137" s="9">
        <v>41676.0</v>
      </c>
      <c r="G137" s="9">
        <v>41682.0</v>
      </c>
      <c r="H137" s="8">
        <v>2014.0</v>
      </c>
      <c r="I137" s="8" t="s">
        <v>738</v>
      </c>
      <c r="J137" s="8" t="s">
        <v>102</v>
      </c>
      <c r="K137" s="8" t="s">
        <v>122</v>
      </c>
      <c r="L137" s="8" t="s">
        <v>739</v>
      </c>
      <c r="M137" s="10" t="s">
        <v>740</v>
      </c>
      <c r="N137" s="11">
        <v>126314.0</v>
      </c>
      <c r="O137" s="12" t="s">
        <v>43</v>
      </c>
      <c r="P137" s="8">
        <v>2011.0</v>
      </c>
      <c r="Q137" s="18">
        <v>4.13763E-5</v>
      </c>
      <c r="R137" s="17">
        <v>0.999941724</v>
      </c>
      <c r="S137" s="17">
        <v>1.68994E-5</v>
      </c>
      <c r="T137" s="17">
        <v>0.0</v>
      </c>
      <c r="U137" s="17">
        <v>0.0</v>
      </c>
      <c r="V137" s="17">
        <v>0.0</v>
      </c>
      <c r="W137" s="17">
        <v>0.0</v>
      </c>
      <c r="X137" s="19">
        <v>0.0</v>
      </c>
      <c r="Y137" s="17"/>
      <c r="Z137" s="20"/>
      <c r="AA137" s="17">
        <v>4.08287E-5</v>
      </c>
      <c r="AB137" s="17">
        <v>0.999874336</v>
      </c>
      <c r="AC137" s="17">
        <v>8.48349E-5</v>
      </c>
      <c r="AD137" s="17">
        <v>0.0</v>
      </c>
      <c r="AE137" s="17">
        <v>0.0</v>
      </c>
      <c r="AF137" s="17">
        <v>0.0</v>
      </c>
      <c r="AG137" s="17">
        <v>0.0</v>
      </c>
      <c r="AH137" s="17">
        <v>0.0</v>
      </c>
    </row>
    <row r="138">
      <c r="A138" s="8" t="s">
        <v>741</v>
      </c>
      <c r="B138" s="8" t="s">
        <v>742</v>
      </c>
      <c r="C138" s="8">
        <v>1.0</v>
      </c>
      <c r="D138" s="8" t="s">
        <v>36</v>
      </c>
      <c r="E138" s="8" t="s">
        <v>37</v>
      </c>
      <c r="F138" s="9">
        <v>41484.0</v>
      </c>
      <c r="G138" s="9">
        <v>41752.0</v>
      </c>
      <c r="H138" s="8">
        <v>2014.0</v>
      </c>
      <c r="I138" s="8" t="s">
        <v>743</v>
      </c>
      <c r="J138" s="8" t="s">
        <v>383</v>
      </c>
      <c r="K138" s="8" t="s">
        <v>122</v>
      </c>
      <c r="L138" s="8" t="s">
        <v>744</v>
      </c>
      <c r="M138" s="10" t="s">
        <v>745</v>
      </c>
      <c r="N138" s="11">
        <v>129099.0</v>
      </c>
      <c r="O138" s="12" t="s">
        <v>43</v>
      </c>
      <c r="P138" s="8">
        <v>2011.0</v>
      </c>
      <c r="Q138" s="18">
        <v>0.453</v>
      </c>
      <c r="R138" s="17">
        <v>0.4672</v>
      </c>
      <c r="S138" s="17">
        <v>3.0E-4</v>
      </c>
      <c r="T138" s="17">
        <v>0.0751</v>
      </c>
      <c r="U138" s="17">
        <v>0.0023</v>
      </c>
      <c r="V138" s="17">
        <v>0.0021</v>
      </c>
      <c r="W138" s="17">
        <v>0.0</v>
      </c>
      <c r="X138" s="19">
        <v>0.0</v>
      </c>
      <c r="Y138" s="17"/>
      <c r="Z138" s="20"/>
      <c r="AA138" s="17">
        <v>0.4498</v>
      </c>
      <c r="AB138" s="17">
        <v>0.47</v>
      </c>
      <c r="AC138" s="17">
        <v>0.0016</v>
      </c>
      <c r="AD138" s="17">
        <v>0.0735</v>
      </c>
      <c r="AE138" s="17">
        <v>0.0024</v>
      </c>
      <c r="AF138" s="17">
        <v>0.0026</v>
      </c>
      <c r="AG138" s="17">
        <v>0.0</v>
      </c>
      <c r="AH138" s="17">
        <v>0.0</v>
      </c>
    </row>
    <row r="139">
      <c r="A139" s="21" t="s">
        <v>746</v>
      </c>
      <c r="B139" s="21" t="s">
        <v>747</v>
      </c>
      <c r="C139" s="21">
        <v>1.0</v>
      </c>
      <c r="D139" s="21" t="s">
        <v>36</v>
      </c>
      <c r="E139" s="21" t="s">
        <v>37</v>
      </c>
      <c r="F139" s="22">
        <v>41781.0</v>
      </c>
      <c r="G139" s="22">
        <v>41787.0</v>
      </c>
      <c r="H139" s="21">
        <v>2014.0</v>
      </c>
      <c r="I139" s="21" t="s">
        <v>748</v>
      </c>
      <c r="J139" s="21" t="s">
        <v>693</v>
      </c>
      <c r="K139" s="21" t="s">
        <v>48</v>
      </c>
      <c r="L139" s="21" t="s">
        <v>749</v>
      </c>
      <c r="M139" s="23" t="s">
        <v>750</v>
      </c>
      <c r="N139" s="24">
        <v>17848.0</v>
      </c>
      <c r="O139" s="25" t="s">
        <v>43</v>
      </c>
      <c r="P139" s="21">
        <v>2011.0</v>
      </c>
      <c r="Q139" s="26">
        <v>0.9982</v>
      </c>
      <c r="R139" s="27">
        <v>2.0E-4</v>
      </c>
      <c r="S139" s="27">
        <v>0.0</v>
      </c>
      <c r="T139" s="27">
        <v>0.0016</v>
      </c>
      <c r="U139" s="27">
        <v>0.0</v>
      </c>
      <c r="V139" s="27">
        <v>0.0</v>
      </c>
      <c r="W139" s="27">
        <v>0.0</v>
      </c>
      <c r="X139" s="28">
        <v>0.0</v>
      </c>
      <c r="Y139" s="27"/>
      <c r="Z139" s="29"/>
      <c r="AA139" s="27">
        <v>0.9982</v>
      </c>
      <c r="AB139" s="27">
        <v>2.0E-4</v>
      </c>
      <c r="AC139" s="27">
        <v>0.0</v>
      </c>
      <c r="AD139" s="27">
        <v>0.0016</v>
      </c>
      <c r="AE139" s="27">
        <v>0.0</v>
      </c>
      <c r="AF139" s="27">
        <v>0.0</v>
      </c>
      <c r="AG139" s="27">
        <v>0.0</v>
      </c>
      <c r="AH139" s="27">
        <v>0.0</v>
      </c>
    </row>
    <row r="140">
      <c r="A140" s="21" t="s">
        <v>751</v>
      </c>
      <c r="B140" s="21" t="s">
        <v>752</v>
      </c>
      <c r="C140" s="21">
        <v>1.0</v>
      </c>
      <c r="D140" s="21" t="s">
        <v>36</v>
      </c>
      <c r="E140" s="21" t="s">
        <v>37</v>
      </c>
      <c r="F140" s="22">
        <v>41687.0</v>
      </c>
      <c r="G140" s="22">
        <v>41791.0</v>
      </c>
      <c r="H140" s="21">
        <v>2014.0</v>
      </c>
      <c r="I140" s="21" t="s">
        <v>753</v>
      </c>
      <c r="J140" s="21" t="s">
        <v>383</v>
      </c>
      <c r="K140" s="21" t="s">
        <v>48</v>
      </c>
      <c r="L140" s="21" t="s">
        <v>754</v>
      </c>
      <c r="M140" s="23" t="s">
        <v>755</v>
      </c>
      <c r="N140" s="24">
        <v>129838.0</v>
      </c>
      <c r="O140" s="25" t="s">
        <v>43</v>
      </c>
      <c r="P140" s="21">
        <v>2011.0</v>
      </c>
      <c r="Q140" s="26">
        <v>0.126611231</v>
      </c>
      <c r="R140" s="27">
        <v>0.852405927</v>
      </c>
      <c r="S140" s="27">
        <v>0.0</v>
      </c>
      <c r="T140" s="27">
        <v>9.96325E-5</v>
      </c>
      <c r="U140" s="27">
        <v>7.11039E-5</v>
      </c>
      <c r="V140" s="27">
        <v>0.020812106</v>
      </c>
      <c r="W140" s="27">
        <v>0.0</v>
      </c>
      <c r="X140" s="28">
        <v>0.0</v>
      </c>
      <c r="Y140" s="27"/>
      <c r="Z140" s="29"/>
      <c r="AA140" s="27">
        <v>0.124497862</v>
      </c>
      <c r="AB140" s="27">
        <v>0.849360775</v>
      </c>
      <c r="AC140" s="27">
        <v>0.0</v>
      </c>
      <c r="AD140" s="27">
        <v>9.66584E-5</v>
      </c>
      <c r="AE140" s="27">
        <v>7.22813E-5</v>
      </c>
      <c r="AF140" s="27">
        <v>0.025972423</v>
      </c>
      <c r="AG140" s="27">
        <v>0.0</v>
      </c>
      <c r="AH140" s="27">
        <v>0.0</v>
      </c>
    </row>
    <row r="141">
      <c r="A141" s="21" t="s">
        <v>756</v>
      </c>
      <c r="B141" s="21" t="s">
        <v>757</v>
      </c>
      <c r="C141" s="21">
        <v>1.0</v>
      </c>
      <c r="D141" s="21" t="s">
        <v>36</v>
      </c>
      <c r="E141" s="21" t="s">
        <v>37</v>
      </c>
      <c r="F141" s="22">
        <v>42510.0</v>
      </c>
      <c r="G141" s="22">
        <v>42516.0</v>
      </c>
      <c r="H141" s="21">
        <v>2016.0</v>
      </c>
      <c r="I141" s="21" t="s">
        <v>758</v>
      </c>
      <c r="J141" s="21" t="s">
        <v>109</v>
      </c>
      <c r="K141" s="21" t="s">
        <v>122</v>
      </c>
      <c r="L141" s="21" t="s">
        <v>759</v>
      </c>
      <c r="M141" s="23" t="s">
        <v>760</v>
      </c>
      <c r="N141" s="24">
        <v>57134.0</v>
      </c>
      <c r="O141" s="47"/>
      <c r="P141" s="21">
        <v>2011.0</v>
      </c>
      <c r="Q141" s="27">
        <v>0.724289051534455</v>
      </c>
      <c r="R141" s="27">
        <v>0.0</v>
      </c>
      <c r="S141" s="27">
        <v>0.0</v>
      </c>
      <c r="T141" s="27">
        <v>0.275480284074913</v>
      </c>
      <c r="U141" s="27">
        <v>0.0</v>
      </c>
      <c r="V141" s="27">
        <v>0.0</v>
      </c>
      <c r="W141" s="27">
        <v>0.0</v>
      </c>
      <c r="X141" s="27">
        <v>0.0</v>
      </c>
      <c r="Y141" s="27"/>
      <c r="Z141" s="29"/>
      <c r="AA141" s="48"/>
      <c r="AB141" s="48"/>
      <c r="AC141" s="48"/>
      <c r="AD141" s="48"/>
      <c r="AE141" s="48"/>
      <c r="AF141" s="48"/>
      <c r="AG141" s="48"/>
      <c r="AH141" s="48"/>
    </row>
    <row r="142">
      <c r="A142" s="21" t="s">
        <v>761</v>
      </c>
      <c r="B142" s="21" t="s">
        <v>762</v>
      </c>
      <c r="C142" s="21">
        <v>1.0</v>
      </c>
      <c r="D142" s="21" t="s">
        <v>36</v>
      </c>
      <c r="E142" s="21" t="s">
        <v>37</v>
      </c>
      <c r="F142" s="22">
        <v>42100.0</v>
      </c>
      <c r="G142" s="22">
        <v>42113.0</v>
      </c>
      <c r="H142" s="21">
        <v>2015.0</v>
      </c>
      <c r="I142" s="21" t="s">
        <v>763</v>
      </c>
      <c r="J142" s="21" t="s">
        <v>693</v>
      </c>
      <c r="K142" s="21" t="s">
        <v>48</v>
      </c>
      <c r="L142" s="21" t="s">
        <v>764</v>
      </c>
      <c r="M142" s="23" t="s">
        <v>765</v>
      </c>
      <c r="N142" s="24">
        <v>128161.0</v>
      </c>
      <c r="O142" s="25" t="s">
        <v>43</v>
      </c>
      <c r="P142" s="21">
        <v>2011.0</v>
      </c>
      <c r="Q142" s="26">
        <v>0.004123964</v>
      </c>
      <c r="R142" s="27">
        <v>0.977700261</v>
      </c>
      <c r="S142" s="27">
        <v>0.0</v>
      </c>
      <c r="T142" s="27">
        <v>0.0</v>
      </c>
      <c r="U142" s="27">
        <v>0.014720189</v>
      </c>
      <c r="V142" s="27">
        <v>0.003455587</v>
      </c>
      <c r="W142" s="27">
        <v>0.0</v>
      </c>
      <c r="X142" s="28">
        <v>0.0</v>
      </c>
      <c r="Y142" s="27"/>
      <c r="Z142" s="29"/>
      <c r="AA142" s="27">
        <v>0.004065132</v>
      </c>
      <c r="AB142" s="27">
        <v>0.976610994</v>
      </c>
      <c r="AC142" s="27">
        <v>0.0</v>
      </c>
      <c r="AD142" s="27">
        <v>0.0</v>
      </c>
      <c r="AE142" s="27">
        <v>0.015000842</v>
      </c>
      <c r="AF142" s="27">
        <v>0.004323031</v>
      </c>
      <c r="AG142" s="27">
        <v>0.0</v>
      </c>
      <c r="AH142" s="27">
        <v>0.0</v>
      </c>
    </row>
    <row r="143">
      <c r="A143" s="8" t="s">
        <v>766</v>
      </c>
      <c r="B143" s="8" t="s">
        <v>767</v>
      </c>
      <c r="C143" s="8">
        <v>1.0</v>
      </c>
      <c r="D143" s="8" t="s">
        <v>36</v>
      </c>
      <c r="E143" s="8" t="s">
        <v>37</v>
      </c>
      <c r="F143" s="9">
        <v>41662.0</v>
      </c>
      <c r="G143" s="9">
        <v>41838.0</v>
      </c>
      <c r="H143" s="8">
        <v>2014.0</v>
      </c>
      <c r="I143" s="8" t="s">
        <v>768</v>
      </c>
      <c r="J143" s="8" t="s">
        <v>383</v>
      </c>
      <c r="K143" s="8" t="s">
        <v>122</v>
      </c>
      <c r="L143" s="8" t="s">
        <v>769</v>
      </c>
      <c r="M143" s="10" t="s">
        <v>770</v>
      </c>
      <c r="N143" s="11">
        <v>107744.0</v>
      </c>
      <c r="O143" s="12" t="s">
        <v>43</v>
      </c>
      <c r="P143" s="8">
        <v>2011.0</v>
      </c>
      <c r="Q143" s="18">
        <v>0.177</v>
      </c>
      <c r="R143" s="17">
        <v>0.7291</v>
      </c>
      <c r="S143" s="17">
        <v>1.0E-4</v>
      </c>
      <c r="T143" s="17">
        <v>0.065</v>
      </c>
      <c r="U143" s="17">
        <v>0.0181</v>
      </c>
      <c r="V143" s="17">
        <v>0.0107</v>
      </c>
      <c r="W143" s="17">
        <v>0.0</v>
      </c>
      <c r="X143" s="19">
        <v>0.0</v>
      </c>
      <c r="Y143" s="17"/>
      <c r="Z143" s="20"/>
      <c r="AA143" s="17">
        <v>0.1748</v>
      </c>
      <c r="AB143" s="17">
        <v>0.7296</v>
      </c>
      <c r="AC143" s="17">
        <v>3.0E-4</v>
      </c>
      <c r="AD143" s="17">
        <v>0.0634</v>
      </c>
      <c r="AE143" s="17">
        <v>0.0185</v>
      </c>
      <c r="AF143" s="17">
        <v>0.0134</v>
      </c>
      <c r="AG143" s="17">
        <v>0.0</v>
      </c>
      <c r="AH143" s="17">
        <v>0.0</v>
      </c>
    </row>
    <row r="144">
      <c r="A144" s="8" t="s">
        <v>771</v>
      </c>
      <c r="B144" s="8" t="s">
        <v>772</v>
      </c>
      <c r="C144" s="8">
        <v>1.0</v>
      </c>
      <c r="D144" s="8" t="s">
        <v>36</v>
      </c>
      <c r="E144" s="8" t="s">
        <v>37</v>
      </c>
      <c r="F144" s="9">
        <v>41731.0</v>
      </c>
      <c r="G144" s="9">
        <v>41981.0</v>
      </c>
      <c r="H144" s="8">
        <v>2014.0</v>
      </c>
      <c r="I144" s="8" t="s">
        <v>773</v>
      </c>
      <c r="J144" s="8" t="s">
        <v>383</v>
      </c>
      <c r="K144" s="8" t="s">
        <v>122</v>
      </c>
      <c r="L144" s="8" t="s">
        <v>774</v>
      </c>
      <c r="M144" s="10" t="s">
        <v>775</v>
      </c>
      <c r="N144" s="11">
        <v>148331.0</v>
      </c>
      <c r="O144" s="12" t="s">
        <v>43</v>
      </c>
      <c r="P144" s="8">
        <v>2011.0</v>
      </c>
      <c r="Q144" s="18">
        <v>0.2434</v>
      </c>
      <c r="R144" s="17">
        <v>0.3499</v>
      </c>
      <c r="S144" s="17">
        <v>0.0</v>
      </c>
      <c r="T144" s="17">
        <v>0.3915</v>
      </c>
      <c r="U144" s="17">
        <v>0.0115</v>
      </c>
      <c r="V144" s="17">
        <v>0.0037</v>
      </c>
      <c r="W144" s="17">
        <v>0.0</v>
      </c>
      <c r="X144" s="19">
        <v>0.0</v>
      </c>
      <c r="Y144" s="17"/>
      <c r="Z144" s="20"/>
      <c r="AA144" s="17">
        <v>0.2431</v>
      </c>
      <c r="AB144" s="17">
        <v>0.3542</v>
      </c>
      <c r="AC144" s="17">
        <v>1.0E-4</v>
      </c>
      <c r="AD144" s="17">
        <v>0.386</v>
      </c>
      <c r="AE144" s="17">
        <v>0.0119</v>
      </c>
      <c r="AF144" s="17">
        <v>0.0046</v>
      </c>
      <c r="AG144" s="17">
        <v>0.0</v>
      </c>
      <c r="AH144" s="17">
        <v>0.0</v>
      </c>
    </row>
    <row r="145">
      <c r="A145" s="8" t="s">
        <v>776</v>
      </c>
      <c r="B145" s="8" t="s">
        <v>777</v>
      </c>
      <c r="C145" s="8">
        <v>1.0</v>
      </c>
      <c r="D145" s="8" t="s">
        <v>36</v>
      </c>
      <c r="E145" s="8" t="s">
        <v>37</v>
      </c>
      <c r="F145" s="9">
        <v>42049.0</v>
      </c>
      <c r="G145" s="9">
        <v>42065.0</v>
      </c>
      <c r="H145" s="8">
        <v>2015.0</v>
      </c>
      <c r="I145" s="8" t="s">
        <v>778</v>
      </c>
      <c r="J145" s="8" t="s">
        <v>383</v>
      </c>
      <c r="K145" s="8" t="s">
        <v>122</v>
      </c>
      <c r="L145" s="8" t="s">
        <v>779</v>
      </c>
      <c r="M145" s="10" t="s">
        <v>780</v>
      </c>
      <c r="N145" s="11">
        <v>134418.0</v>
      </c>
      <c r="O145" s="12" t="s">
        <v>43</v>
      </c>
      <c r="P145" s="8">
        <v>2014.0</v>
      </c>
      <c r="Q145" s="18">
        <v>0.0</v>
      </c>
      <c r="R145" s="17">
        <v>0.9998</v>
      </c>
      <c r="S145" s="17">
        <v>0.0</v>
      </c>
      <c r="T145" s="17">
        <v>1.0E-4</v>
      </c>
      <c r="U145" s="17">
        <v>1.0E-4</v>
      </c>
      <c r="V145" s="17">
        <v>0.0</v>
      </c>
      <c r="W145" s="17">
        <v>0.0</v>
      </c>
      <c r="X145" s="19">
        <v>0.0</v>
      </c>
      <c r="Y145" s="17"/>
      <c r="Z145" s="20"/>
      <c r="AA145" s="17">
        <v>0.0</v>
      </c>
      <c r="AB145" s="17">
        <v>0.9998</v>
      </c>
      <c r="AC145" s="17">
        <v>0.0</v>
      </c>
      <c r="AD145" s="17">
        <v>1.0E-4</v>
      </c>
      <c r="AE145" s="17">
        <v>1.0E-4</v>
      </c>
      <c r="AF145" s="17">
        <v>0.0</v>
      </c>
      <c r="AG145" s="17">
        <v>0.0</v>
      </c>
      <c r="AH145" s="17">
        <v>0.0</v>
      </c>
    </row>
    <row r="146">
      <c r="A146" s="8" t="s">
        <v>781</v>
      </c>
      <c r="B146" s="8" t="s">
        <v>782</v>
      </c>
      <c r="C146" s="8">
        <v>1.0</v>
      </c>
      <c r="D146" s="8" t="s">
        <v>36</v>
      </c>
      <c r="E146" s="8" t="s">
        <v>37</v>
      </c>
      <c r="F146" s="9">
        <v>42227.0</v>
      </c>
      <c r="G146" s="9">
        <v>42250.0</v>
      </c>
      <c r="H146" s="8">
        <v>2015.0</v>
      </c>
      <c r="I146" s="8" t="s">
        <v>783</v>
      </c>
      <c r="J146" s="8" t="s">
        <v>693</v>
      </c>
      <c r="K146" s="8" t="s">
        <v>48</v>
      </c>
      <c r="L146" s="8" t="s">
        <v>784</v>
      </c>
      <c r="M146" s="10" t="s">
        <v>785</v>
      </c>
      <c r="N146" s="11">
        <v>130995.0</v>
      </c>
      <c r="O146" s="12" t="s">
        <v>43</v>
      </c>
      <c r="P146" s="8">
        <v>2014.0</v>
      </c>
      <c r="Q146" s="18">
        <v>0.0</v>
      </c>
      <c r="R146" s="17">
        <v>0.9998</v>
      </c>
      <c r="S146" s="17">
        <v>0.0</v>
      </c>
      <c r="T146" s="17">
        <v>0.0</v>
      </c>
      <c r="U146" s="17">
        <v>1.0E-4</v>
      </c>
      <c r="V146" s="17">
        <v>1.0E-4</v>
      </c>
      <c r="W146" s="17">
        <v>0.0</v>
      </c>
      <c r="X146" s="19">
        <v>0.0</v>
      </c>
      <c r="Y146" s="17"/>
      <c r="Z146" s="20"/>
      <c r="AA146" s="17">
        <v>0.0</v>
      </c>
      <c r="AB146" s="17">
        <v>0.9998</v>
      </c>
      <c r="AC146" s="17">
        <v>0.0</v>
      </c>
      <c r="AD146" s="17">
        <v>0.0</v>
      </c>
      <c r="AE146" s="17">
        <v>1.0E-4</v>
      </c>
      <c r="AF146" s="17">
        <v>1.0E-4</v>
      </c>
      <c r="AG146" s="17">
        <v>0.0</v>
      </c>
      <c r="AH146" s="17">
        <v>0.0</v>
      </c>
    </row>
    <row r="147">
      <c r="A147" s="8" t="s">
        <v>786</v>
      </c>
      <c r="B147" s="8" t="s">
        <v>787</v>
      </c>
      <c r="C147" s="8">
        <v>1.0</v>
      </c>
      <c r="D147" s="8" t="s">
        <v>36</v>
      </c>
      <c r="E147" s="8" t="s">
        <v>37</v>
      </c>
      <c r="F147" s="9">
        <v>41981.0</v>
      </c>
      <c r="G147" s="9">
        <v>42186.0</v>
      </c>
      <c r="H147" s="8">
        <v>2015.0</v>
      </c>
      <c r="I147" s="8" t="s">
        <v>788</v>
      </c>
      <c r="J147" s="8" t="s">
        <v>383</v>
      </c>
      <c r="K147" s="8" t="s">
        <v>48</v>
      </c>
      <c r="L147" s="8" t="s">
        <v>789</v>
      </c>
      <c r="M147" s="10" t="s">
        <v>790</v>
      </c>
      <c r="N147" s="11">
        <v>135577.0</v>
      </c>
      <c r="O147" s="12" t="s">
        <v>43</v>
      </c>
      <c r="P147" s="8">
        <v>2014.0</v>
      </c>
      <c r="Q147" s="18">
        <v>2.0E-4</v>
      </c>
      <c r="R147" s="17">
        <v>0.7912</v>
      </c>
      <c r="S147" s="17">
        <v>4.0E-4</v>
      </c>
      <c r="T147" s="17">
        <v>0.2081</v>
      </c>
      <c r="U147" s="17">
        <v>0.0</v>
      </c>
      <c r="V147" s="17">
        <v>1.0E-4</v>
      </c>
      <c r="W147" s="17">
        <v>0.0</v>
      </c>
      <c r="X147" s="19">
        <v>0.0</v>
      </c>
      <c r="Y147" s="17"/>
      <c r="Z147" s="20"/>
      <c r="AA147" s="17">
        <v>2.0E-4</v>
      </c>
      <c r="AB147" s="17">
        <v>0.7942</v>
      </c>
      <c r="AC147" s="17">
        <v>0.002</v>
      </c>
      <c r="AD147" s="17">
        <v>0.2034</v>
      </c>
      <c r="AE147" s="17">
        <v>0.0</v>
      </c>
      <c r="AF147" s="17">
        <v>1.0E-4</v>
      </c>
      <c r="AG147" s="17">
        <v>0.0</v>
      </c>
      <c r="AH147" s="17">
        <v>0.0</v>
      </c>
    </row>
    <row r="148">
      <c r="A148" s="8" t="s">
        <v>791</v>
      </c>
      <c r="B148" s="8" t="s">
        <v>792</v>
      </c>
      <c r="C148" s="8">
        <v>1.0</v>
      </c>
      <c r="D148" s="8" t="s">
        <v>36</v>
      </c>
      <c r="E148" s="8" t="s">
        <v>37</v>
      </c>
      <c r="F148" s="9">
        <v>42251.0</v>
      </c>
      <c r="G148" s="9">
        <v>42310.0</v>
      </c>
      <c r="H148" s="8">
        <v>2015.0</v>
      </c>
      <c r="I148" s="8" t="s">
        <v>793</v>
      </c>
      <c r="J148" s="8" t="s">
        <v>794</v>
      </c>
      <c r="K148" s="8" t="s">
        <v>103</v>
      </c>
      <c r="L148" s="8" t="s">
        <v>795</v>
      </c>
      <c r="M148" s="10" t="s">
        <v>796</v>
      </c>
      <c r="N148" s="11">
        <v>245946.0</v>
      </c>
      <c r="O148" s="12" t="s">
        <v>43</v>
      </c>
      <c r="P148" s="8">
        <v>2014.0</v>
      </c>
      <c r="Q148" s="18">
        <v>0.0</v>
      </c>
      <c r="R148" s="17">
        <v>0.9998</v>
      </c>
      <c r="S148" s="17">
        <v>0.0</v>
      </c>
      <c r="T148" s="17">
        <v>0.0</v>
      </c>
      <c r="U148" s="17">
        <v>1.0E-4</v>
      </c>
      <c r="V148" s="17">
        <v>0.0</v>
      </c>
      <c r="W148" s="17">
        <v>0.0</v>
      </c>
      <c r="X148" s="19">
        <v>0.0</v>
      </c>
      <c r="Y148" s="17"/>
      <c r="Z148" s="20" t="s">
        <v>797</v>
      </c>
      <c r="AA148" s="17">
        <v>0.0</v>
      </c>
      <c r="AB148" s="17">
        <v>0.9998</v>
      </c>
      <c r="AC148" s="17">
        <v>0.0</v>
      </c>
      <c r="AD148" s="17">
        <v>0.0</v>
      </c>
      <c r="AE148" s="17">
        <v>1.0E-4</v>
      </c>
      <c r="AF148" s="17">
        <v>1.0E-4</v>
      </c>
      <c r="AG148" s="17">
        <v>0.0</v>
      </c>
      <c r="AH148" s="17">
        <v>0.0</v>
      </c>
    </row>
    <row r="149">
      <c r="A149" s="8" t="s">
        <v>798</v>
      </c>
      <c r="B149" s="8" t="s">
        <v>799</v>
      </c>
      <c r="C149" s="8">
        <v>1.0</v>
      </c>
      <c r="D149" s="8" t="s">
        <v>36</v>
      </c>
      <c r="E149" s="8" t="s">
        <v>37</v>
      </c>
      <c r="F149" s="9">
        <v>42327.0</v>
      </c>
      <c r="G149" s="9">
        <v>42363.0</v>
      </c>
      <c r="H149" s="8">
        <v>2015.0</v>
      </c>
      <c r="I149" s="8" t="s">
        <v>800</v>
      </c>
      <c r="J149" s="8" t="s">
        <v>377</v>
      </c>
      <c r="K149" s="8" t="s">
        <v>48</v>
      </c>
      <c r="L149" s="8" t="s">
        <v>801</v>
      </c>
      <c r="M149" s="10" t="s">
        <v>802</v>
      </c>
      <c r="N149" s="11">
        <v>108622.0</v>
      </c>
      <c r="O149" s="12" t="s">
        <v>803</v>
      </c>
      <c r="P149" s="8">
        <v>2014.0</v>
      </c>
      <c r="Q149" s="18">
        <v>9.5841E-5</v>
      </c>
      <c r="R149" s="17">
        <v>0.999821235</v>
      </c>
      <c r="S149" s="17">
        <v>0.0</v>
      </c>
      <c r="T149" s="17">
        <v>0.0</v>
      </c>
      <c r="U149" s="17">
        <v>4.87647E-5</v>
      </c>
      <c r="V149" s="17">
        <v>3.41595E-5</v>
      </c>
      <c r="W149" s="17">
        <v>0.0</v>
      </c>
      <c r="X149" s="19">
        <v>0.0</v>
      </c>
      <c r="Y149" s="17"/>
      <c r="Z149" s="20"/>
      <c r="AA149" s="17">
        <v>9.45783E-5</v>
      </c>
      <c r="AB149" s="17">
        <v>0.99981289</v>
      </c>
      <c r="AC149" s="17">
        <v>0.0</v>
      </c>
      <c r="AD149" s="17">
        <v>0.0</v>
      </c>
      <c r="AE149" s="17">
        <v>4.97494E-5</v>
      </c>
      <c r="AF149" s="17">
        <v>4.27818E-5</v>
      </c>
      <c r="AG149" s="17">
        <v>0.0</v>
      </c>
      <c r="AH149" s="17">
        <v>0.0</v>
      </c>
    </row>
    <row r="150">
      <c r="A150" s="8" t="s">
        <v>804</v>
      </c>
      <c r="B150" s="8" t="s">
        <v>805</v>
      </c>
      <c r="C150" s="8">
        <v>1.0</v>
      </c>
      <c r="D150" s="8" t="s">
        <v>36</v>
      </c>
      <c r="E150" s="8" t="s">
        <v>37</v>
      </c>
      <c r="F150" s="9">
        <v>42333.0</v>
      </c>
      <c r="G150" s="9">
        <v>42464.0</v>
      </c>
      <c r="H150" s="8">
        <v>2016.0</v>
      </c>
      <c r="I150" s="8" t="s">
        <v>806</v>
      </c>
      <c r="J150" s="8" t="s">
        <v>377</v>
      </c>
      <c r="K150" s="8" t="s">
        <v>122</v>
      </c>
      <c r="L150" s="8" t="s">
        <v>807</v>
      </c>
      <c r="M150" s="10" t="s">
        <v>808</v>
      </c>
      <c r="N150" s="11">
        <v>145594.0</v>
      </c>
      <c r="O150" s="12" t="s">
        <v>803</v>
      </c>
      <c r="P150" s="8">
        <v>2014.0</v>
      </c>
      <c r="Q150" s="18">
        <v>0.004449658</v>
      </c>
      <c r="R150" s="17">
        <v>0.955581987</v>
      </c>
      <c r="S150" s="17">
        <v>1.94369E-4</v>
      </c>
      <c r="T150" s="17">
        <v>7.58328E-6</v>
      </c>
      <c r="U150" s="17">
        <v>0.008389687</v>
      </c>
      <c r="V150" s="17">
        <v>0.031376716</v>
      </c>
      <c r="W150" s="17">
        <v>0.0</v>
      </c>
      <c r="X150" s="19">
        <v>0.0</v>
      </c>
      <c r="Y150" s="17"/>
      <c r="Z150" s="20"/>
      <c r="AA150" s="17">
        <v>0.004352714</v>
      </c>
      <c r="AB150" s="17">
        <v>0.947234659</v>
      </c>
      <c r="AC150" s="17">
        <v>9.67276E-4</v>
      </c>
      <c r="AD150" s="17">
        <v>7.3188E-6</v>
      </c>
      <c r="AE150" s="17">
        <v>0.008484413</v>
      </c>
      <c r="AF150" s="17">
        <v>0.038953619</v>
      </c>
      <c r="AG150" s="17">
        <v>0.0</v>
      </c>
      <c r="AH150" s="17">
        <v>0.0</v>
      </c>
    </row>
    <row r="151">
      <c r="A151" s="21" t="s">
        <v>809</v>
      </c>
      <c r="B151" s="21" t="s">
        <v>810</v>
      </c>
      <c r="C151" s="21">
        <v>1.0</v>
      </c>
      <c r="D151" s="21" t="s">
        <v>36</v>
      </c>
      <c r="E151" s="21" t="s">
        <v>37</v>
      </c>
      <c r="F151" s="22">
        <v>42488.0</v>
      </c>
      <c r="G151" s="22">
        <v>42490.0</v>
      </c>
      <c r="H151" s="21">
        <v>2016.0</v>
      </c>
      <c r="I151" s="21" t="s">
        <v>811</v>
      </c>
      <c r="J151" s="21" t="s">
        <v>693</v>
      </c>
      <c r="K151" s="21" t="s">
        <v>122</v>
      </c>
      <c r="L151" s="21" t="s">
        <v>812</v>
      </c>
      <c r="M151" s="23" t="s">
        <v>813</v>
      </c>
      <c r="N151" s="24">
        <v>22548.0</v>
      </c>
      <c r="O151" s="25" t="s">
        <v>803</v>
      </c>
      <c r="P151" s="21">
        <v>2014.0</v>
      </c>
      <c r="Q151" s="26">
        <v>1.0</v>
      </c>
      <c r="R151" s="27">
        <v>0.0</v>
      </c>
      <c r="S151" s="27">
        <v>0.0</v>
      </c>
      <c r="T151" s="27">
        <v>0.0</v>
      </c>
      <c r="U151" s="27">
        <v>0.0</v>
      </c>
      <c r="V151" s="27">
        <v>0.0</v>
      </c>
      <c r="W151" s="27">
        <v>0.0</v>
      </c>
      <c r="X151" s="28">
        <v>0.0</v>
      </c>
      <c r="Y151" s="27"/>
      <c r="Z151" s="29"/>
      <c r="AA151" s="27">
        <v>1.0</v>
      </c>
      <c r="AB151" s="27">
        <v>0.0</v>
      </c>
      <c r="AC151" s="27">
        <v>0.0</v>
      </c>
      <c r="AD151" s="27">
        <v>0.0</v>
      </c>
      <c r="AE151" s="27">
        <v>0.0</v>
      </c>
      <c r="AF151" s="27">
        <v>0.0</v>
      </c>
      <c r="AG151" s="27">
        <v>0.0</v>
      </c>
      <c r="AH151" s="27">
        <v>0.0</v>
      </c>
    </row>
    <row r="152">
      <c r="A152" s="8" t="s">
        <v>814</v>
      </c>
      <c r="B152" s="8" t="s">
        <v>815</v>
      </c>
      <c r="C152" s="8">
        <v>1.0</v>
      </c>
      <c r="D152" s="8" t="s">
        <v>36</v>
      </c>
      <c r="E152" s="8" t="s">
        <v>37</v>
      </c>
      <c r="F152" s="9">
        <v>42515.0</v>
      </c>
      <c r="G152" s="9">
        <v>42532.0</v>
      </c>
      <c r="H152" s="8">
        <v>2016.0</v>
      </c>
      <c r="I152" s="8" t="s">
        <v>816</v>
      </c>
      <c r="J152" s="8" t="s">
        <v>693</v>
      </c>
      <c r="K152" s="8" t="s">
        <v>48</v>
      </c>
      <c r="L152" s="8" t="s">
        <v>817</v>
      </c>
      <c r="M152" s="10" t="s">
        <v>818</v>
      </c>
      <c r="N152" s="11">
        <v>101950.0</v>
      </c>
      <c r="O152" s="12" t="s">
        <v>803</v>
      </c>
      <c r="P152" s="8">
        <v>2014.0</v>
      </c>
      <c r="Q152" s="18">
        <v>1.36618E-4</v>
      </c>
      <c r="R152" s="17">
        <v>0.99802447</v>
      </c>
      <c r="S152" s="17">
        <v>0.0</v>
      </c>
      <c r="T152" s="17">
        <v>1.39346E-4</v>
      </c>
      <c r="U152" s="17">
        <v>0.001444718</v>
      </c>
      <c r="V152" s="17">
        <v>2.54848E-4</v>
      </c>
      <c r="W152" s="17">
        <v>0.0</v>
      </c>
      <c r="X152" s="19">
        <v>0.0</v>
      </c>
      <c r="Y152" s="17"/>
      <c r="Z152" s="20"/>
      <c r="AA152" s="17">
        <v>1.34807E-4</v>
      </c>
      <c r="AB152" s="17">
        <v>0.997936609</v>
      </c>
      <c r="AC152" s="17">
        <v>0.0</v>
      </c>
      <c r="AD152" s="17">
        <v>1.35659E-4</v>
      </c>
      <c r="AE152" s="17">
        <v>0.001473775</v>
      </c>
      <c r="AF152" s="17">
        <v>3.19149E-4</v>
      </c>
      <c r="AG152" s="17">
        <v>0.0</v>
      </c>
      <c r="AH152" s="17">
        <v>0.0</v>
      </c>
    </row>
    <row r="153">
      <c r="A153" s="8" t="s">
        <v>819</v>
      </c>
      <c r="B153" s="8" t="s">
        <v>820</v>
      </c>
      <c r="C153" s="8">
        <v>1.0</v>
      </c>
      <c r="D153" s="8" t="s">
        <v>36</v>
      </c>
      <c r="E153" s="8" t="s">
        <v>37</v>
      </c>
      <c r="F153" s="9">
        <v>42436.0</v>
      </c>
      <c r="G153" s="9">
        <v>42511.0</v>
      </c>
      <c r="H153" s="8">
        <v>2016.0</v>
      </c>
      <c r="I153" s="8" t="s">
        <v>821</v>
      </c>
      <c r="J153" s="8" t="s">
        <v>383</v>
      </c>
      <c r="K153" s="8" t="s">
        <v>48</v>
      </c>
      <c r="L153" s="8" t="s">
        <v>822</v>
      </c>
      <c r="M153" s="10" t="s">
        <v>823</v>
      </c>
      <c r="N153" s="11">
        <v>181190.0</v>
      </c>
      <c r="O153" s="12" t="s">
        <v>803</v>
      </c>
      <c r="P153" s="8">
        <v>2014.0</v>
      </c>
      <c r="Q153" s="18">
        <v>7.92559E-5</v>
      </c>
      <c r="R153" s="17">
        <v>0.999688855</v>
      </c>
      <c r="S153" s="17">
        <v>0.0</v>
      </c>
      <c r="T153" s="17">
        <v>8.79081E-6</v>
      </c>
      <c r="U153" s="17">
        <v>1.0488E-4</v>
      </c>
      <c r="V153" s="17">
        <v>1.18218E-4</v>
      </c>
      <c r="W153" s="17">
        <v>0.0</v>
      </c>
      <c r="X153" s="19">
        <v>0.0</v>
      </c>
      <c r="Y153" s="17"/>
      <c r="Z153" s="20"/>
      <c r="AA153" s="17">
        <v>7.821E-5</v>
      </c>
      <c r="AB153" s="17">
        <v>0.999658181</v>
      </c>
      <c r="AC153" s="17">
        <v>0.0</v>
      </c>
      <c r="AD153" s="17">
        <v>8.55871E-6</v>
      </c>
      <c r="AE153" s="17">
        <v>1.06996E-4</v>
      </c>
      <c r="AF153" s="17">
        <v>1.48054E-4</v>
      </c>
      <c r="AG153" s="17">
        <v>0.0</v>
      </c>
      <c r="AH153" s="17">
        <v>0.0</v>
      </c>
    </row>
    <row r="154">
      <c r="A154" s="8" t="s">
        <v>824</v>
      </c>
      <c r="B154" s="8" t="s">
        <v>825</v>
      </c>
      <c r="C154" s="8">
        <v>1.0</v>
      </c>
      <c r="D154" s="8" t="s">
        <v>36</v>
      </c>
      <c r="E154" s="8" t="s">
        <v>37</v>
      </c>
      <c r="F154" s="9">
        <v>42464.0</v>
      </c>
      <c r="G154" s="9">
        <v>42619.0</v>
      </c>
      <c r="H154" s="8">
        <v>2016.0</v>
      </c>
      <c r="I154" s="8" t="s">
        <v>826</v>
      </c>
      <c r="J154" s="8" t="s">
        <v>377</v>
      </c>
      <c r="K154" s="8" t="s">
        <v>122</v>
      </c>
      <c r="L154" s="8" t="s">
        <v>827</v>
      </c>
      <c r="M154" s="10" t="s">
        <v>828</v>
      </c>
      <c r="N154" s="11">
        <v>133239.0</v>
      </c>
      <c r="O154" s="12" t="s">
        <v>803</v>
      </c>
      <c r="P154" s="8">
        <v>2014.0</v>
      </c>
      <c r="Q154" s="18">
        <v>2.47309E-4</v>
      </c>
      <c r="R154" s="17">
        <v>0.176607607</v>
      </c>
      <c r="S154" s="17">
        <v>0.0</v>
      </c>
      <c r="T154" s="17">
        <v>3.68634E-4</v>
      </c>
      <c r="U154" s="17">
        <v>0.822754872</v>
      </c>
      <c r="V154" s="17">
        <v>2.15785E-5</v>
      </c>
      <c r="W154" s="17">
        <v>0.0</v>
      </c>
      <c r="X154" s="19">
        <v>0.0</v>
      </c>
      <c r="Y154" s="17"/>
      <c r="Z154" s="20"/>
      <c r="AA154" s="17">
        <v>2.40064E-4</v>
      </c>
      <c r="AB154" s="17">
        <v>0.173721367</v>
      </c>
      <c r="AC154" s="17">
        <v>0.0</v>
      </c>
      <c r="AD154" s="17">
        <v>3.53046E-4</v>
      </c>
      <c r="AE154" s="17">
        <v>0.825658939</v>
      </c>
      <c r="AF154" s="17">
        <v>2.65838E-5</v>
      </c>
      <c r="AG154" s="17">
        <v>0.0</v>
      </c>
      <c r="AH154" s="17">
        <v>0.0</v>
      </c>
    </row>
    <row r="155">
      <c r="A155" s="8" t="s">
        <v>829</v>
      </c>
      <c r="B155" s="8" t="s">
        <v>830</v>
      </c>
      <c r="C155" s="8">
        <v>1.0</v>
      </c>
      <c r="D155" s="8" t="s">
        <v>36</v>
      </c>
      <c r="E155" s="8" t="s">
        <v>37</v>
      </c>
      <c r="F155" s="9">
        <v>42663.0</v>
      </c>
      <c r="G155" s="9">
        <v>42679.0</v>
      </c>
      <c r="H155" s="8">
        <v>2016.0</v>
      </c>
      <c r="I155" s="8" t="s">
        <v>831</v>
      </c>
      <c r="J155" s="8" t="s">
        <v>383</v>
      </c>
      <c r="K155" s="8" t="s">
        <v>103</v>
      </c>
      <c r="L155" s="8" t="s">
        <v>832</v>
      </c>
      <c r="M155" s="10" t="s">
        <v>833</v>
      </c>
      <c r="N155" s="11">
        <v>111348.0</v>
      </c>
      <c r="O155" s="12" t="s">
        <v>803</v>
      </c>
      <c r="P155" s="8">
        <v>2014.0</v>
      </c>
      <c r="Q155" s="18">
        <v>5.62103E-5</v>
      </c>
      <c r="R155" s="17">
        <v>0.001766322</v>
      </c>
      <c r="S155" s="17">
        <v>0.0</v>
      </c>
      <c r="T155" s="17">
        <v>0.0</v>
      </c>
      <c r="U155" s="17">
        <v>0.998177467</v>
      </c>
      <c r="V155" s="17">
        <v>0.0</v>
      </c>
      <c r="W155" s="17">
        <v>0.0</v>
      </c>
      <c r="X155" s="19">
        <v>0.0</v>
      </c>
      <c r="Y155" s="17"/>
      <c r="Z155" s="20"/>
      <c r="AA155" s="17">
        <v>5.43738E-5</v>
      </c>
      <c r="AB155" s="17">
        <v>0.001731408</v>
      </c>
      <c r="AC155" s="17">
        <v>0.0</v>
      </c>
      <c r="AD155" s="17">
        <v>0.0</v>
      </c>
      <c r="AE155" s="17">
        <v>0.998214218</v>
      </c>
      <c r="AF155" s="17">
        <v>0.0</v>
      </c>
      <c r="AG155" s="17">
        <v>0.0</v>
      </c>
      <c r="AH155" s="17">
        <v>0.0</v>
      </c>
    </row>
    <row r="156">
      <c r="A156" s="8" t="s">
        <v>834</v>
      </c>
      <c r="B156" s="8" t="s">
        <v>835</v>
      </c>
      <c r="C156" s="8">
        <v>1.0</v>
      </c>
      <c r="D156" s="8" t="s">
        <v>36</v>
      </c>
      <c r="E156" s="8" t="s">
        <v>37</v>
      </c>
      <c r="F156" s="9">
        <v>42656.0</v>
      </c>
      <c r="G156" s="9">
        <v>42660.0</v>
      </c>
      <c r="H156" s="8">
        <v>2016.0</v>
      </c>
      <c r="I156" s="8" t="s">
        <v>836</v>
      </c>
      <c r="J156" s="8" t="s">
        <v>837</v>
      </c>
      <c r="K156" s="8" t="s">
        <v>48</v>
      </c>
      <c r="L156" s="8" t="s">
        <v>838</v>
      </c>
      <c r="M156" s="10" t="s">
        <v>839</v>
      </c>
      <c r="N156" s="11">
        <v>42233.0</v>
      </c>
      <c r="O156" s="12" t="s">
        <v>803</v>
      </c>
      <c r="P156" s="8">
        <v>2014.0</v>
      </c>
      <c r="Q156" s="18">
        <v>1.67743E-4</v>
      </c>
      <c r="R156" s="17">
        <v>0.99876321</v>
      </c>
      <c r="S156" s="17">
        <v>0.0</v>
      </c>
      <c r="T156" s="17">
        <v>7.13091E-4</v>
      </c>
      <c r="U156" s="17">
        <v>7.48432E-5</v>
      </c>
      <c r="V156" s="17">
        <v>2.81113E-4</v>
      </c>
      <c r="W156" s="17">
        <v>0.0</v>
      </c>
      <c r="X156" s="19">
        <v>0.0</v>
      </c>
      <c r="Y156" s="17"/>
      <c r="Z156" s="20"/>
      <c r="AA156" s="17">
        <v>1.65526E-4</v>
      </c>
      <c r="AB156" s="17">
        <v>0.99871182</v>
      </c>
      <c r="AC156" s="17">
        <v>0.0</v>
      </c>
      <c r="AD156" s="17">
        <v>6.94249E-4</v>
      </c>
      <c r="AE156" s="17">
        <v>7.63513E-5</v>
      </c>
      <c r="AF156" s="17">
        <v>3.52054E-4</v>
      </c>
      <c r="AG156" s="17">
        <v>0.0</v>
      </c>
      <c r="AH156" s="17">
        <v>0.0</v>
      </c>
    </row>
    <row r="157">
      <c r="A157" s="8" t="s">
        <v>840</v>
      </c>
      <c r="B157" s="8" t="s">
        <v>841</v>
      </c>
      <c r="C157" s="8">
        <v>1.0</v>
      </c>
      <c r="D157" s="8" t="s">
        <v>36</v>
      </c>
      <c r="E157" s="8" t="s">
        <v>37</v>
      </c>
      <c r="F157" s="9">
        <v>42677.0</v>
      </c>
      <c r="G157" s="9">
        <v>42679.0</v>
      </c>
      <c r="H157" s="8">
        <v>2016.0</v>
      </c>
      <c r="I157" s="8" t="s">
        <v>842</v>
      </c>
      <c r="J157" s="8" t="s">
        <v>693</v>
      </c>
      <c r="K157" s="8" t="s">
        <v>122</v>
      </c>
      <c r="L157" s="8" t="s">
        <v>843</v>
      </c>
      <c r="M157" s="10" t="s">
        <v>844</v>
      </c>
      <c r="N157" s="11">
        <v>54382.0</v>
      </c>
      <c r="O157" s="12" t="s">
        <v>803</v>
      </c>
      <c r="P157" s="8">
        <v>2014.0</v>
      </c>
      <c r="Q157" s="18">
        <v>0.983508604</v>
      </c>
      <c r="R157" s="17">
        <v>0.0</v>
      </c>
      <c r="S157" s="17">
        <v>0.0</v>
      </c>
      <c r="T157" s="17">
        <v>0.016491396</v>
      </c>
      <c r="U157" s="17">
        <v>0.0</v>
      </c>
      <c r="V157" s="17">
        <v>0.0</v>
      </c>
      <c r="W157" s="17">
        <v>0.0</v>
      </c>
      <c r="X157" s="19">
        <v>0.0</v>
      </c>
      <c r="Y157" s="17"/>
      <c r="Z157" s="20"/>
      <c r="AA157" s="17">
        <v>0.983725708</v>
      </c>
      <c r="AB157" s="17">
        <v>0.0</v>
      </c>
      <c r="AC157" s="17">
        <v>0.0</v>
      </c>
      <c r="AD157" s="17">
        <v>0.016274292</v>
      </c>
      <c r="AE157" s="17">
        <v>0.0</v>
      </c>
      <c r="AF157" s="17">
        <v>0.0</v>
      </c>
      <c r="AG157" s="17">
        <v>0.0</v>
      </c>
      <c r="AH157" s="17">
        <v>0.0</v>
      </c>
    </row>
    <row r="158">
      <c r="A158" s="8" t="s">
        <v>845</v>
      </c>
      <c r="B158" s="8" t="s">
        <v>846</v>
      </c>
      <c r="C158" s="8">
        <v>1.0</v>
      </c>
      <c r="D158" s="8" t="s">
        <v>36</v>
      </c>
      <c r="E158" s="8" t="s">
        <v>37</v>
      </c>
      <c r="F158" s="9">
        <v>42822.0</v>
      </c>
      <c r="G158" s="9">
        <v>42845.0</v>
      </c>
      <c r="H158" s="8">
        <v>2017.0</v>
      </c>
      <c r="I158" s="8" t="s">
        <v>847</v>
      </c>
      <c r="J158" s="8" t="s">
        <v>693</v>
      </c>
      <c r="K158" s="8" t="s">
        <v>848</v>
      </c>
      <c r="L158" s="8" t="s">
        <v>849</v>
      </c>
      <c r="M158" s="10" t="s">
        <v>850</v>
      </c>
      <c r="N158" s="11">
        <v>110990.0</v>
      </c>
      <c r="O158" s="12" t="s">
        <v>803</v>
      </c>
      <c r="P158" s="8">
        <v>2014.0</v>
      </c>
      <c r="Q158" s="18">
        <v>4.6422E-5</v>
      </c>
      <c r="R158" s="17">
        <v>0.999647416</v>
      </c>
      <c r="S158" s="17">
        <v>0.0</v>
      </c>
      <c r="T158" s="17">
        <v>0.0</v>
      </c>
      <c r="U158" s="17">
        <v>1.10467E-4</v>
      </c>
      <c r="V158" s="17">
        <v>1.95695E-4</v>
      </c>
      <c r="W158" s="17">
        <v>0.0</v>
      </c>
      <c r="X158" s="19">
        <v>0.0</v>
      </c>
      <c r="Y158" s="17"/>
      <c r="Z158" s="20"/>
      <c r="AA158" s="17">
        <v>4.58085E-5</v>
      </c>
      <c r="AB158" s="17">
        <v>0.999596418</v>
      </c>
      <c r="AC158" s="17">
        <v>0.0</v>
      </c>
      <c r="AD158" s="17">
        <v>0.0</v>
      </c>
      <c r="AE158" s="17">
        <v>1.12693E-4</v>
      </c>
      <c r="AF158" s="17">
        <v>2.45081E-4</v>
      </c>
      <c r="AG158" s="17">
        <v>0.0</v>
      </c>
      <c r="AH158" s="17">
        <v>0.0</v>
      </c>
    </row>
    <row r="159">
      <c r="A159" s="8" t="s">
        <v>851</v>
      </c>
      <c r="B159" s="8" t="s">
        <v>852</v>
      </c>
      <c r="C159" s="8">
        <v>1.0</v>
      </c>
      <c r="D159" s="8" t="s">
        <v>36</v>
      </c>
      <c r="E159" s="8" t="s">
        <v>37</v>
      </c>
      <c r="F159" s="9">
        <v>42641.0</v>
      </c>
      <c r="G159" s="9">
        <v>42766.0</v>
      </c>
      <c r="H159" s="8">
        <v>2017.0</v>
      </c>
      <c r="I159" s="8" t="s">
        <v>853</v>
      </c>
      <c r="J159" s="8" t="s">
        <v>377</v>
      </c>
      <c r="K159" s="8" t="s">
        <v>122</v>
      </c>
      <c r="L159" s="8" t="s">
        <v>854</v>
      </c>
      <c r="M159" s="10" t="s">
        <v>855</v>
      </c>
      <c r="N159" s="11">
        <v>96564.0</v>
      </c>
      <c r="O159" s="12" t="s">
        <v>803</v>
      </c>
      <c r="P159" s="8">
        <v>2014.0</v>
      </c>
      <c r="Q159" s="18">
        <v>0.030478586</v>
      </c>
      <c r="R159" s="17">
        <v>0.628165926</v>
      </c>
      <c r="S159" s="17">
        <v>1.32482E-4</v>
      </c>
      <c r="T159" s="17">
        <v>0.301588921</v>
      </c>
      <c r="U159" s="17">
        <v>0.019986598</v>
      </c>
      <c r="V159" s="17">
        <v>0.019647487</v>
      </c>
      <c r="W159" s="17">
        <v>0.0</v>
      </c>
      <c r="X159" s="19">
        <v>0.0</v>
      </c>
      <c r="Y159" s="17"/>
      <c r="Z159" s="20"/>
      <c r="AA159" s="17">
        <v>0.03015144</v>
      </c>
      <c r="AB159" s="17">
        <v>0.629714486</v>
      </c>
      <c r="AC159" s="17">
        <v>6.66744E-4</v>
      </c>
      <c r="AD159" s="17">
        <v>0.29435908</v>
      </c>
      <c r="AE159" s="17">
        <v>0.020440645</v>
      </c>
      <c r="AF159" s="17">
        <v>0.024667606</v>
      </c>
      <c r="AG159" s="17">
        <v>0.0</v>
      </c>
      <c r="AH159" s="17">
        <v>0.0</v>
      </c>
    </row>
    <row r="160">
      <c r="A160" s="8" t="s">
        <v>856</v>
      </c>
      <c r="B160" s="8" t="s">
        <v>857</v>
      </c>
      <c r="C160" s="8">
        <v>1.0</v>
      </c>
      <c r="D160" s="8" t="s">
        <v>36</v>
      </c>
      <c r="E160" s="8" t="s">
        <v>37</v>
      </c>
      <c r="F160" s="9">
        <v>42681.0</v>
      </c>
      <c r="G160" s="9">
        <v>42748.0</v>
      </c>
      <c r="H160" s="8">
        <v>2017.0</v>
      </c>
      <c r="I160" s="8" t="s">
        <v>858</v>
      </c>
      <c r="J160" s="8" t="s">
        <v>383</v>
      </c>
      <c r="K160" s="8" t="s">
        <v>103</v>
      </c>
      <c r="L160" s="8" t="s">
        <v>859</v>
      </c>
      <c r="M160" s="10" t="s">
        <v>860</v>
      </c>
      <c r="N160" s="11">
        <v>141207.0</v>
      </c>
      <c r="O160" s="12" t="s">
        <v>803</v>
      </c>
      <c r="P160" s="8">
        <v>2014.0</v>
      </c>
      <c r="Q160" s="18">
        <v>8.24579E-5</v>
      </c>
      <c r="R160" s="17">
        <v>0.96521646</v>
      </c>
      <c r="S160" s="17">
        <v>3.88476E-6</v>
      </c>
      <c r="T160" s="17">
        <v>9.78172E-4</v>
      </c>
      <c r="U160" s="17">
        <v>0.001464329</v>
      </c>
      <c r="V160" s="17">
        <v>0.032254696</v>
      </c>
      <c r="W160" s="17">
        <v>0.0</v>
      </c>
      <c r="X160" s="19">
        <v>0.0</v>
      </c>
      <c r="Y160" s="17"/>
      <c r="Z160" s="20"/>
      <c r="AA160" s="17">
        <v>8.07136E-5</v>
      </c>
      <c r="AB160" s="17">
        <v>0.957403935</v>
      </c>
      <c r="AC160" s="17">
        <v>1.9345E-5</v>
      </c>
      <c r="AD160" s="17">
        <v>9.44666E-4</v>
      </c>
      <c r="AE160" s="17">
        <v>0.00148182</v>
      </c>
      <c r="AF160" s="17">
        <v>0.04006952</v>
      </c>
      <c r="AG160" s="17">
        <v>0.0</v>
      </c>
      <c r="AH160" s="17">
        <v>0.0</v>
      </c>
    </row>
    <row r="161">
      <c r="A161" s="8" t="s">
        <v>861</v>
      </c>
      <c r="B161" s="8" t="s">
        <v>862</v>
      </c>
      <c r="C161" s="8">
        <v>1.0</v>
      </c>
      <c r="D161" s="8" t="s">
        <v>36</v>
      </c>
      <c r="E161" s="8" t="s">
        <v>37</v>
      </c>
      <c r="F161" s="9">
        <v>42713.0</v>
      </c>
      <c r="G161" s="9">
        <v>42731.0</v>
      </c>
      <c r="H161" s="8">
        <v>2016.0</v>
      </c>
      <c r="I161" s="8" t="s">
        <v>863</v>
      </c>
      <c r="J161" s="8" t="s">
        <v>794</v>
      </c>
      <c r="K161" s="8" t="s">
        <v>122</v>
      </c>
      <c r="L161" s="8" t="s">
        <v>864</v>
      </c>
      <c r="M161" s="10" t="s">
        <v>865</v>
      </c>
      <c r="N161" s="11">
        <v>226896.0</v>
      </c>
      <c r="O161" s="12" t="s">
        <v>803</v>
      </c>
      <c r="P161" s="8">
        <v>2014.0</v>
      </c>
      <c r="Q161" s="18">
        <v>4.24576E-5</v>
      </c>
      <c r="R161" s="17">
        <v>0.997743297</v>
      </c>
      <c r="S161" s="17">
        <v>0.0</v>
      </c>
      <c r="T161" s="17">
        <v>0.0</v>
      </c>
      <c r="U161" s="17">
        <v>0.002192974</v>
      </c>
      <c r="V161" s="17">
        <v>2.12711E-5</v>
      </c>
      <c r="W161" s="17">
        <v>0.0</v>
      </c>
      <c r="X161" s="19">
        <v>0.0</v>
      </c>
      <c r="Y161" s="17"/>
      <c r="Z161" s="20"/>
      <c r="AA161" s="17">
        <v>4.18965E-5</v>
      </c>
      <c r="AB161" s="17">
        <v>0.997694296</v>
      </c>
      <c r="AC161" s="17">
        <v>0.0</v>
      </c>
      <c r="AD161" s="17">
        <v>0.0</v>
      </c>
      <c r="AE161" s="17">
        <v>0.002237168</v>
      </c>
      <c r="AF161" s="17">
        <v>2.66391E-5</v>
      </c>
      <c r="AG161" s="17">
        <v>0.0</v>
      </c>
      <c r="AH161" s="17">
        <v>0.0</v>
      </c>
    </row>
    <row r="162">
      <c r="A162" s="8" t="s">
        <v>866</v>
      </c>
      <c r="B162" s="8" t="s">
        <v>867</v>
      </c>
      <c r="C162" s="8">
        <v>1.0</v>
      </c>
      <c r="D162" s="8" t="s">
        <v>36</v>
      </c>
      <c r="E162" s="8" t="s">
        <v>37</v>
      </c>
      <c r="F162" s="9">
        <v>42775.0</v>
      </c>
      <c r="G162" s="9">
        <v>42776.0</v>
      </c>
      <c r="H162" s="8">
        <v>2017.0</v>
      </c>
      <c r="I162" s="8" t="s">
        <v>868</v>
      </c>
      <c r="J162" s="8" t="s">
        <v>693</v>
      </c>
      <c r="K162" s="8" t="s">
        <v>103</v>
      </c>
      <c r="L162" s="8" t="s">
        <v>869</v>
      </c>
      <c r="M162" s="10" t="s">
        <v>870</v>
      </c>
      <c r="N162" s="11">
        <v>55471.0</v>
      </c>
      <c r="O162" s="12" t="s">
        <v>803</v>
      </c>
      <c r="P162" s="8">
        <v>2014.0</v>
      </c>
      <c r="Q162" s="18">
        <v>0.996010172</v>
      </c>
      <c r="R162" s="17">
        <v>0.0</v>
      </c>
      <c r="S162" s="17">
        <v>0.0</v>
      </c>
      <c r="T162" s="17">
        <v>0.003810545</v>
      </c>
      <c r="U162" s="17">
        <v>1.79283E-4</v>
      </c>
      <c r="V162" s="17">
        <v>0.0</v>
      </c>
      <c r="W162" s="17">
        <v>0.0</v>
      </c>
      <c r="X162" s="19">
        <v>0.0</v>
      </c>
      <c r="Y162" s="17"/>
      <c r="Z162" s="20"/>
      <c r="AA162" s="17">
        <v>0.996054927</v>
      </c>
      <c r="AB162" s="17">
        <v>0.0</v>
      </c>
      <c r="AC162" s="17">
        <v>0.0</v>
      </c>
      <c r="AD162" s="17">
        <v>0.003759719</v>
      </c>
      <c r="AE162" s="17">
        <v>1.85354E-4</v>
      </c>
      <c r="AF162" s="17">
        <v>0.0</v>
      </c>
      <c r="AG162" s="17">
        <v>0.0</v>
      </c>
      <c r="AH162" s="17">
        <v>0.0</v>
      </c>
    </row>
    <row r="163">
      <c r="A163" s="8" t="s">
        <v>871</v>
      </c>
      <c r="B163" s="8" t="s">
        <v>872</v>
      </c>
      <c r="C163" s="8">
        <v>1.0</v>
      </c>
      <c r="D163" s="8" t="s">
        <v>36</v>
      </c>
      <c r="E163" s="8" t="s">
        <v>37</v>
      </c>
      <c r="F163" s="9">
        <v>42761.0</v>
      </c>
      <c r="G163" s="9">
        <v>42791.0</v>
      </c>
      <c r="H163" s="8">
        <v>2017.0</v>
      </c>
      <c r="I163" s="8" t="s">
        <v>873</v>
      </c>
      <c r="J163" s="8" t="s">
        <v>383</v>
      </c>
      <c r="K163" s="8" t="s">
        <v>103</v>
      </c>
      <c r="L163" s="8" t="s">
        <v>874</v>
      </c>
      <c r="M163" s="10" t="s">
        <v>875</v>
      </c>
      <c r="N163" s="11">
        <v>140916.0</v>
      </c>
      <c r="O163" s="12" t="s">
        <v>803</v>
      </c>
      <c r="P163" s="8">
        <v>2014.0</v>
      </c>
      <c r="Q163" s="18">
        <v>0.003541826</v>
      </c>
      <c r="R163" s="17">
        <v>0.204523267</v>
      </c>
      <c r="S163" s="17">
        <v>0.0</v>
      </c>
      <c r="T163" s="17">
        <v>0.791806205</v>
      </c>
      <c r="U163" s="17">
        <v>1.49144E-5</v>
      </c>
      <c r="V163" s="17">
        <v>1.13788E-4</v>
      </c>
      <c r="W163" s="17">
        <v>0.0</v>
      </c>
      <c r="X163" s="19">
        <v>0.0</v>
      </c>
      <c r="Y163" s="17"/>
      <c r="Z163" s="20"/>
      <c r="AA163" s="17">
        <v>0.0035698</v>
      </c>
      <c r="AB163" s="17">
        <v>0.208888979</v>
      </c>
      <c r="AC163" s="17">
        <v>0.0</v>
      </c>
      <c r="AD163" s="17">
        <v>0.787380128</v>
      </c>
      <c r="AE163" s="17">
        <v>1.55405E-5</v>
      </c>
      <c r="AF163" s="17">
        <v>1.45553E-4</v>
      </c>
      <c r="AG163" s="17">
        <v>0.0</v>
      </c>
      <c r="AH163" s="17">
        <v>0.0</v>
      </c>
    </row>
    <row r="164">
      <c r="A164" s="8" t="s">
        <v>876</v>
      </c>
      <c r="B164" s="8" t="s">
        <v>877</v>
      </c>
      <c r="C164" s="8">
        <v>1.0</v>
      </c>
      <c r="D164" s="8" t="s">
        <v>36</v>
      </c>
      <c r="E164" s="8" t="s">
        <v>37</v>
      </c>
      <c r="F164" s="9">
        <v>42786.0</v>
      </c>
      <c r="G164" s="9">
        <v>42811.0</v>
      </c>
      <c r="H164" s="8">
        <v>2017.0</v>
      </c>
      <c r="I164" s="8" t="s">
        <v>878</v>
      </c>
      <c r="J164" s="8" t="s">
        <v>383</v>
      </c>
      <c r="K164" s="8" t="s">
        <v>103</v>
      </c>
      <c r="L164" s="8" t="s">
        <v>879</v>
      </c>
      <c r="M164" s="10" t="s">
        <v>880</v>
      </c>
      <c r="N164" s="11">
        <v>140698.0</v>
      </c>
      <c r="O164" s="12" t="s">
        <v>803</v>
      </c>
      <c r="P164" s="8">
        <v>2014.0</v>
      </c>
      <c r="Q164" s="18">
        <v>0.076601678</v>
      </c>
      <c r="R164" s="17">
        <v>0.92130655</v>
      </c>
      <c r="S164" s="17">
        <v>0.0</v>
      </c>
      <c r="T164" s="17">
        <v>3.13091E-4</v>
      </c>
      <c r="U164" s="17">
        <v>2.76017E-4</v>
      </c>
      <c r="V164" s="17">
        <v>0.001502665</v>
      </c>
      <c r="W164" s="17">
        <v>0.0</v>
      </c>
      <c r="X164" s="19">
        <v>0.0</v>
      </c>
      <c r="Y164" s="17"/>
      <c r="Z164" s="20"/>
      <c r="AA164" s="17">
        <v>0.07564091</v>
      </c>
      <c r="AB164" s="17">
        <v>0.921889133</v>
      </c>
      <c r="AC164" s="17">
        <v>0.0</v>
      </c>
      <c r="AD164" s="17">
        <v>3.05026E-4</v>
      </c>
      <c r="AE164" s="17">
        <v>2.81771E-4</v>
      </c>
      <c r="AF164" s="17">
        <v>0.00188316</v>
      </c>
      <c r="AG164" s="17">
        <v>0.0</v>
      </c>
      <c r="AH164" s="17">
        <v>0.0</v>
      </c>
    </row>
    <row r="165">
      <c r="A165" s="8" t="s">
        <v>881</v>
      </c>
      <c r="B165" s="8" t="s">
        <v>882</v>
      </c>
      <c r="C165" s="8">
        <v>1.0</v>
      </c>
      <c r="D165" s="8" t="s">
        <v>36</v>
      </c>
      <c r="E165" s="8" t="s">
        <v>37</v>
      </c>
      <c r="F165" s="9">
        <v>42833.0</v>
      </c>
      <c r="G165" s="9">
        <v>42835.0</v>
      </c>
      <c r="H165" s="8">
        <v>2017.0</v>
      </c>
      <c r="I165" s="8" t="s">
        <v>883</v>
      </c>
      <c r="J165" s="8" t="s">
        <v>794</v>
      </c>
      <c r="K165" s="8" t="s">
        <v>122</v>
      </c>
      <c r="L165" s="8" t="s">
        <v>884</v>
      </c>
      <c r="M165" s="10" t="s">
        <v>885</v>
      </c>
      <c r="N165" s="11">
        <v>72606.0</v>
      </c>
      <c r="O165" s="12" t="s">
        <v>803</v>
      </c>
      <c r="P165" s="8">
        <v>2014.0</v>
      </c>
      <c r="Q165" s="18">
        <v>0.001916175</v>
      </c>
      <c r="R165" s="17">
        <v>0.005743377</v>
      </c>
      <c r="S165" s="17">
        <v>0.0</v>
      </c>
      <c r="T165" s="17">
        <v>0.992340448</v>
      </c>
      <c r="U165" s="17">
        <v>0.0</v>
      </c>
      <c r="V165" s="17">
        <v>0.0</v>
      </c>
      <c r="W165" s="17">
        <v>0.0</v>
      </c>
      <c r="X165" s="19">
        <v>0.0</v>
      </c>
      <c r="Y165" s="17"/>
      <c r="Z165" s="20"/>
      <c r="AA165" s="17">
        <v>0.001941814</v>
      </c>
      <c r="AB165" s="17">
        <v>0.005897877</v>
      </c>
      <c r="AC165" s="17">
        <v>0.0</v>
      </c>
      <c r="AD165" s="17">
        <v>0.992160309</v>
      </c>
      <c r="AE165" s="17">
        <v>0.0</v>
      </c>
      <c r="AF165" s="17">
        <v>0.0</v>
      </c>
      <c r="AG165" s="17">
        <v>0.0</v>
      </c>
      <c r="AH165" s="17">
        <v>0.0</v>
      </c>
    </row>
    <row r="166">
      <c r="A166" s="8" t="s">
        <v>886</v>
      </c>
      <c r="B166" s="8" t="s">
        <v>887</v>
      </c>
      <c r="C166" s="8">
        <v>1.0</v>
      </c>
      <c r="D166" s="8" t="s">
        <v>36</v>
      </c>
      <c r="E166" s="8" t="s">
        <v>37</v>
      </c>
      <c r="F166" s="9">
        <v>42867.0</v>
      </c>
      <c r="G166" s="9">
        <v>42899.0</v>
      </c>
      <c r="H166" s="8">
        <v>2017.0</v>
      </c>
      <c r="I166" s="8" t="s">
        <v>888</v>
      </c>
      <c r="J166" s="8" t="s">
        <v>383</v>
      </c>
      <c r="K166" s="8" t="s">
        <v>48</v>
      </c>
      <c r="L166" s="8" t="s">
        <v>889</v>
      </c>
      <c r="M166" s="10" t="s">
        <v>890</v>
      </c>
      <c r="N166" s="11">
        <v>122128.0</v>
      </c>
      <c r="O166" s="12" t="s">
        <v>803</v>
      </c>
      <c r="P166" s="8">
        <v>2014.0</v>
      </c>
      <c r="Q166" s="18">
        <v>0.99427233</v>
      </c>
      <c r="R166" s="17">
        <v>0.003218866</v>
      </c>
      <c r="S166" s="17">
        <v>0.0</v>
      </c>
      <c r="T166" s="17">
        <v>0.002508804</v>
      </c>
      <c r="U166" s="17">
        <v>0.0</v>
      </c>
      <c r="V166" s="17">
        <v>0.0</v>
      </c>
      <c r="W166" s="17">
        <v>0.0</v>
      </c>
      <c r="X166" s="19">
        <v>0.0</v>
      </c>
      <c r="Y166" s="17"/>
      <c r="Z166" s="20"/>
      <c r="AA166" s="17">
        <v>0.994263012</v>
      </c>
      <c r="AB166" s="17">
        <v>0.003261782</v>
      </c>
      <c r="AC166" s="17">
        <v>0.0</v>
      </c>
      <c r="AD166" s="17">
        <v>0.002475207</v>
      </c>
      <c r="AE166" s="17">
        <v>0.0</v>
      </c>
      <c r="AF166" s="17">
        <v>0.0</v>
      </c>
      <c r="AG166" s="17">
        <v>0.0</v>
      </c>
      <c r="AH166" s="17">
        <v>0.0</v>
      </c>
    </row>
    <row r="167">
      <c r="A167" s="32" t="s">
        <v>891</v>
      </c>
      <c r="B167" s="32" t="s">
        <v>892</v>
      </c>
      <c r="C167" s="32">
        <v>1.0</v>
      </c>
      <c r="D167" s="32" t="s">
        <v>36</v>
      </c>
      <c r="E167" s="32" t="s">
        <v>37</v>
      </c>
      <c r="F167" s="33">
        <v>42901.0</v>
      </c>
      <c r="G167" s="33">
        <v>42909.0</v>
      </c>
      <c r="H167" s="32">
        <v>2017.0</v>
      </c>
      <c r="I167" s="32" t="s">
        <v>893</v>
      </c>
      <c r="J167" s="32" t="s">
        <v>377</v>
      </c>
      <c r="K167" s="32" t="s">
        <v>122</v>
      </c>
      <c r="L167" s="32" t="s">
        <v>894</v>
      </c>
      <c r="M167" s="34" t="s">
        <v>895</v>
      </c>
      <c r="N167" s="35">
        <v>50793.0</v>
      </c>
      <c r="O167" s="36" t="s">
        <v>803</v>
      </c>
      <c r="P167" s="32">
        <v>2014.0</v>
      </c>
      <c r="Q167" s="38">
        <v>0.975776704</v>
      </c>
      <c r="R167" s="39">
        <v>0.005365762</v>
      </c>
      <c r="S167" s="39">
        <v>0.0</v>
      </c>
      <c r="T167" s="39">
        <v>0.017559957</v>
      </c>
      <c r="U167" s="39">
        <v>9.43279E-4</v>
      </c>
      <c r="V167" s="39">
        <v>3.54298E-4</v>
      </c>
      <c r="W167" s="39">
        <v>0.0</v>
      </c>
      <c r="X167" s="40">
        <v>0.0</v>
      </c>
      <c r="Y167" s="39"/>
      <c r="Z167" s="41"/>
      <c r="AA167" s="39">
        <v>0.975811985</v>
      </c>
      <c r="AB167" s="39">
        <v>0.005437549</v>
      </c>
      <c r="AC167" s="39">
        <v>0.0</v>
      </c>
      <c r="AD167" s="39">
        <v>0.017325588</v>
      </c>
      <c r="AE167" s="39">
        <v>9.75211E-4</v>
      </c>
      <c r="AF167" s="39">
        <v>4.49667E-4</v>
      </c>
      <c r="AG167" s="39">
        <v>0.0</v>
      </c>
      <c r="AH167" s="39">
        <v>0.0</v>
      </c>
    </row>
    <row r="168">
      <c r="A168" s="8" t="s">
        <v>896</v>
      </c>
      <c r="B168" s="8" t="s">
        <v>897</v>
      </c>
      <c r="C168" s="8">
        <v>1.0</v>
      </c>
      <c r="D168" s="8" t="s">
        <v>36</v>
      </c>
      <c r="E168" s="8" t="s">
        <v>37</v>
      </c>
      <c r="F168" s="9">
        <v>42909.0</v>
      </c>
      <c r="G168" s="9">
        <v>42931.0</v>
      </c>
      <c r="H168" s="8">
        <v>2017.0</v>
      </c>
      <c r="I168" s="8" t="s">
        <v>898</v>
      </c>
      <c r="J168" s="8" t="s">
        <v>383</v>
      </c>
      <c r="K168" s="8" t="s">
        <v>48</v>
      </c>
      <c r="L168" s="8" t="s">
        <v>899</v>
      </c>
      <c r="M168" s="10" t="s">
        <v>900</v>
      </c>
      <c r="N168" s="11">
        <v>55404.0</v>
      </c>
      <c r="O168" s="12" t="s">
        <v>803</v>
      </c>
      <c r="P168" s="8">
        <v>2014.0</v>
      </c>
      <c r="Q168" s="18">
        <v>0.996388628</v>
      </c>
      <c r="R168" s="17">
        <v>0.001686362</v>
      </c>
      <c r="S168" s="17">
        <v>0.0</v>
      </c>
      <c r="T168" s="17">
        <v>0.00192501</v>
      </c>
      <c r="U168" s="17">
        <v>0.0</v>
      </c>
      <c r="V168" s="17">
        <v>0.0</v>
      </c>
      <c r="W168" s="17">
        <v>0.0</v>
      </c>
      <c r="X168" s="19">
        <v>0.0</v>
      </c>
      <c r="Y168" s="17"/>
      <c r="Z168" s="20"/>
      <c r="AA168" s="17">
        <v>0.996391878</v>
      </c>
      <c r="AB168" s="17">
        <v>0.001708868</v>
      </c>
      <c r="AC168" s="17">
        <v>0.0</v>
      </c>
      <c r="AD168" s="17">
        <v>0.001899255</v>
      </c>
      <c r="AE168" s="17">
        <v>0.0</v>
      </c>
      <c r="AF168" s="17">
        <v>0.0</v>
      </c>
      <c r="AG168" s="17">
        <v>0.0</v>
      </c>
      <c r="AH168" s="17">
        <v>0.0</v>
      </c>
    </row>
    <row r="169">
      <c r="A169" s="8" t="s">
        <v>901</v>
      </c>
      <c r="B169" s="8" t="s">
        <v>902</v>
      </c>
      <c r="C169" s="8">
        <v>1.0</v>
      </c>
      <c r="D169" s="8" t="s">
        <v>36</v>
      </c>
      <c r="E169" s="8" t="s">
        <v>37</v>
      </c>
      <c r="F169" s="9">
        <v>42979.0</v>
      </c>
      <c r="G169" s="9">
        <v>42997.0</v>
      </c>
      <c r="H169" s="8">
        <v>2017.0</v>
      </c>
      <c r="I169" s="8" t="s">
        <v>903</v>
      </c>
      <c r="J169" s="8" t="s">
        <v>377</v>
      </c>
      <c r="K169" s="8" t="s">
        <v>122</v>
      </c>
      <c r="L169" s="8" t="s">
        <v>904</v>
      </c>
      <c r="M169" s="10" t="s">
        <v>905</v>
      </c>
      <c r="N169" s="11">
        <v>33184.0</v>
      </c>
      <c r="O169" s="12" t="s">
        <v>803</v>
      </c>
      <c r="P169" s="8">
        <v>2014.0</v>
      </c>
      <c r="Q169" s="18">
        <v>0.021273184</v>
      </c>
      <c r="R169" s="17">
        <v>0.691371102</v>
      </c>
      <c r="S169" s="17">
        <v>5.23264E-4</v>
      </c>
      <c r="T169" s="17">
        <v>0.187378936</v>
      </c>
      <c r="U169" s="17">
        <v>0.08395621</v>
      </c>
      <c r="V169" s="17">
        <v>0.015497304</v>
      </c>
      <c r="W169" s="17">
        <v>0.0</v>
      </c>
      <c r="X169" s="19">
        <v>0.0</v>
      </c>
      <c r="Y169" s="17"/>
      <c r="Z169" s="20"/>
      <c r="AA169" s="17">
        <v>0.020940952</v>
      </c>
      <c r="AB169" s="17">
        <v>0.689653926</v>
      </c>
      <c r="AC169" s="17">
        <v>0.002620441</v>
      </c>
      <c r="AD169" s="17">
        <v>0.181984123</v>
      </c>
      <c r="AE169" s="17">
        <v>0.0854396</v>
      </c>
      <c r="AF169" s="17">
        <v>0.019360958</v>
      </c>
      <c r="AG169" s="17">
        <v>0.0</v>
      </c>
      <c r="AH169" s="17">
        <v>0.0</v>
      </c>
    </row>
    <row r="170">
      <c r="A170" s="8" t="s">
        <v>906</v>
      </c>
      <c r="B170" s="8" t="s">
        <v>907</v>
      </c>
      <c r="C170" s="8">
        <v>1.0</v>
      </c>
      <c r="D170" s="8" t="s">
        <v>36</v>
      </c>
      <c r="E170" s="8" t="s">
        <v>37</v>
      </c>
      <c r="F170" s="9">
        <v>42942.0</v>
      </c>
      <c r="G170" s="9">
        <v>42997.0</v>
      </c>
      <c r="H170" s="8">
        <v>2017.0</v>
      </c>
      <c r="I170" s="8" t="s">
        <v>908</v>
      </c>
      <c r="J170" s="8" t="s">
        <v>383</v>
      </c>
      <c r="K170" s="8" t="s">
        <v>48</v>
      </c>
      <c r="L170" s="8" t="s">
        <v>909</v>
      </c>
      <c r="M170" s="10" t="s">
        <v>910</v>
      </c>
      <c r="N170" s="11">
        <v>223464.0</v>
      </c>
      <c r="O170" s="12" t="s">
        <v>803</v>
      </c>
      <c r="P170" s="8">
        <v>2014.0</v>
      </c>
      <c r="Q170" s="18">
        <v>0.001070539</v>
      </c>
      <c r="R170" s="17">
        <v>0.836602174</v>
      </c>
      <c r="S170" s="17">
        <v>0.0</v>
      </c>
      <c r="T170" s="17">
        <v>0.094677901</v>
      </c>
      <c r="U170" s="17">
        <v>0.062426382</v>
      </c>
      <c r="V170" s="17">
        <v>0.005223004</v>
      </c>
      <c r="W170" s="17">
        <v>0.0</v>
      </c>
      <c r="X170" s="19">
        <v>0.0</v>
      </c>
      <c r="Y170" s="17"/>
      <c r="Z170" s="20"/>
      <c r="AA170" s="17">
        <v>0.001056371</v>
      </c>
      <c r="AB170" s="17">
        <v>0.836544817</v>
      </c>
      <c r="AC170" s="17">
        <v>0.0</v>
      </c>
      <c r="AD170" s="17">
        <v>0.09217467</v>
      </c>
      <c r="AE170" s="17">
        <v>0.063683186</v>
      </c>
      <c r="AF170" s="17">
        <v>0.006540956</v>
      </c>
      <c r="AG170" s="17">
        <v>0.0</v>
      </c>
      <c r="AH170" s="17">
        <v>0.0</v>
      </c>
    </row>
    <row r="171">
      <c r="A171" s="8" t="s">
        <v>911</v>
      </c>
      <c r="B171" s="8" t="s">
        <v>912</v>
      </c>
      <c r="C171" s="8">
        <v>1.0</v>
      </c>
      <c r="D171" s="8" t="s">
        <v>36</v>
      </c>
      <c r="E171" s="8" t="s">
        <v>37</v>
      </c>
      <c r="F171" s="9">
        <v>42939.0</v>
      </c>
      <c r="G171" s="9">
        <v>42940.0</v>
      </c>
      <c r="H171" s="8">
        <v>2017.0</v>
      </c>
      <c r="I171" s="8" t="s">
        <v>913</v>
      </c>
      <c r="J171" s="8" t="s">
        <v>794</v>
      </c>
      <c r="K171" s="8" t="s">
        <v>122</v>
      </c>
      <c r="L171" s="8" t="s">
        <v>914</v>
      </c>
      <c r="M171" s="10" t="s">
        <v>915</v>
      </c>
      <c r="N171" s="11">
        <v>140452.0</v>
      </c>
      <c r="O171" s="12" t="s">
        <v>803</v>
      </c>
      <c r="P171" s="8">
        <v>2014.0</v>
      </c>
      <c r="Q171" s="18">
        <v>4.22453E-5</v>
      </c>
      <c r="R171" s="17">
        <v>0.999806963</v>
      </c>
      <c r="S171" s="17">
        <v>0.0</v>
      </c>
      <c r="T171" s="17">
        <v>0.0</v>
      </c>
      <c r="U171" s="17">
        <v>1.50792E-4</v>
      </c>
      <c r="V171" s="17">
        <v>0.0</v>
      </c>
      <c r="W171" s="17">
        <v>0.0</v>
      </c>
      <c r="X171" s="19">
        <v>0.0</v>
      </c>
      <c r="Y171" s="17"/>
      <c r="Z171" s="20"/>
      <c r="AA171" s="17">
        <v>4.1689E-5</v>
      </c>
      <c r="AB171" s="17">
        <v>0.999804473</v>
      </c>
      <c r="AC171" s="17">
        <v>0.0</v>
      </c>
      <c r="AD171" s="17">
        <v>0.0</v>
      </c>
      <c r="AE171" s="17">
        <v>1.53838E-4</v>
      </c>
      <c r="AF171" s="17">
        <v>0.0</v>
      </c>
      <c r="AG171" s="17">
        <v>0.0</v>
      </c>
      <c r="AH171" s="17">
        <v>0.0</v>
      </c>
    </row>
    <row r="172">
      <c r="A172" s="8" t="s">
        <v>916</v>
      </c>
      <c r="B172" s="8" t="s">
        <v>917</v>
      </c>
      <c r="C172" s="8">
        <v>1.0</v>
      </c>
      <c r="D172" s="8" t="s">
        <v>36</v>
      </c>
      <c r="E172" s="8" t="s">
        <v>37</v>
      </c>
      <c r="F172" s="9">
        <v>42986.0</v>
      </c>
      <c r="G172" s="9">
        <v>42987.0</v>
      </c>
      <c r="H172" s="8">
        <v>2017.0</v>
      </c>
      <c r="I172" s="8" t="s">
        <v>918</v>
      </c>
      <c r="J172" s="8" t="s">
        <v>693</v>
      </c>
      <c r="K172" s="8" t="s">
        <v>424</v>
      </c>
      <c r="L172" s="8" t="s">
        <v>919</v>
      </c>
      <c r="M172" s="10" t="s">
        <v>920</v>
      </c>
      <c r="N172" s="11">
        <v>51298.0</v>
      </c>
      <c r="O172" s="12" t="s">
        <v>803</v>
      </c>
      <c r="P172" s="8">
        <v>2014.0</v>
      </c>
      <c r="Q172" s="18">
        <v>0.975442929</v>
      </c>
      <c r="R172" s="17">
        <v>2.41581E-4</v>
      </c>
      <c r="S172" s="17">
        <v>0.0</v>
      </c>
      <c r="T172" s="17">
        <v>0.024315491</v>
      </c>
      <c r="U172" s="17">
        <v>0.0</v>
      </c>
      <c r="V172" s="17">
        <v>0.0</v>
      </c>
      <c r="W172" s="17">
        <v>0.0</v>
      </c>
      <c r="X172" s="19">
        <v>0.0</v>
      </c>
      <c r="Y172" s="17"/>
      <c r="Z172" s="20"/>
      <c r="AA172" s="17">
        <v>0.975757297</v>
      </c>
      <c r="AB172" s="17">
        <v>2.44883E-4</v>
      </c>
      <c r="AC172" s="17">
        <v>0.0</v>
      </c>
      <c r="AD172" s="17">
        <v>0.02399782</v>
      </c>
      <c r="AE172" s="17">
        <v>0.0</v>
      </c>
      <c r="AF172" s="17">
        <v>0.0</v>
      </c>
      <c r="AG172" s="17">
        <v>0.0</v>
      </c>
      <c r="AH172" s="17">
        <v>0.0</v>
      </c>
    </row>
    <row r="173">
      <c r="A173" s="8" t="s">
        <v>921</v>
      </c>
      <c r="B173" s="8" t="s">
        <v>922</v>
      </c>
      <c r="C173" s="8">
        <v>1.0</v>
      </c>
      <c r="D173" s="8" t="s">
        <v>36</v>
      </c>
      <c r="E173" s="8" t="s">
        <v>37</v>
      </c>
      <c r="F173" s="9">
        <v>43019.0</v>
      </c>
      <c r="G173" s="9">
        <v>43021.0</v>
      </c>
      <c r="H173" s="8">
        <v>2017.0</v>
      </c>
      <c r="I173" s="8" t="s">
        <v>923</v>
      </c>
      <c r="J173" s="8" t="s">
        <v>794</v>
      </c>
      <c r="K173" s="8" t="s">
        <v>122</v>
      </c>
      <c r="L173" s="8" t="s">
        <v>924</v>
      </c>
      <c r="M173" s="10" t="s">
        <v>925</v>
      </c>
      <c r="N173" s="11">
        <v>53956.0</v>
      </c>
      <c r="O173" s="12" t="s">
        <v>803</v>
      </c>
      <c r="P173" s="8">
        <v>2014.0</v>
      </c>
      <c r="Q173" s="18">
        <v>0.987334472</v>
      </c>
      <c r="R173" s="17">
        <v>0.00260486</v>
      </c>
      <c r="S173" s="17">
        <v>0.0</v>
      </c>
      <c r="T173" s="17">
        <v>0.007752732</v>
      </c>
      <c r="U173" s="17">
        <v>0.002307936</v>
      </c>
      <c r="V173" s="17">
        <v>0.0</v>
      </c>
      <c r="W173" s="17">
        <v>0.0</v>
      </c>
      <c r="X173" s="19">
        <v>0.0</v>
      </c>
      <c r="Y173" s="17"/>
      <c r="Z173" s="20"/>
      <c r="AA173" s="17">
        <v>0.987325542</v>
      </c>
      <c r="AB173" s="17">
        <v>0.002639591</v>
      </c>
      <c r="AC173" s="17">
        <v>0.0</v>
      </c>
      <c r="AD173" s="17">
        <v>0.007648912</v>
      </c>
      <c r="AE173" s="17">
        <v>0.002385955</v>
      </c>
      <c r="AF173" s="17">
        <v>0.0</v>
      </c>
      <c r="AG173" s="17">
        <v>0.0</v>
      </c>
      <c r="AH173" s="17">
        <v>0.0</v>
      </c>
    </row>
    <row r="174">
      <c r="A174" s="8" t="s">
        <v>926</v>
      </c>
      <c r="B174" s="8" t="s">
        <v>927</v>
      </c>
      <c r="C174" s="8">
        <v>1.0</v>
      </c>
      <c r="D174" s="8" t="s">
        <v>36</v>
      </c>
      <c r="E174" s="8" t="s">
        <v>37</v>
      </c>
      <c r="F174" s="9">
        <v>43052.0</v>
      </c>
      <c r="G174" s="9">
        <v>43054.0</v>
      </c>
      <c r="H174" s="8">
        <v>2017.0</v>
      </c>
      <c r="I174" s="8" t="s">
        <v>928</v>
      </c>
      <c r="J174" s="8" t="s">
        <v>794</v>
      </c>
      <c r="K174" s="8" t="s">
        <v>122</v>
      </c>
      <c r="L174" s="8" t="s">
        <v>929</v>
      </c>
      <c r="M174" s="10" t="s">
        <v>930</v>
      </c>
      <c r="N174" s="11">
        <v>44681.0</v>
      </c>
      <c r="O174" s="12" t="s">
        <v>803</v>
      </c>
      <c r="P174" s="8">
        <v>2014.0</v>
      </c>
      <c r="Q174" s="18">
        <v>0.979222792</v>
      </c>
      <c r="R174" s="17">
        <v>0.0</v>
      </c>
      <c r="S174" s="17">
        <v>0.0</v>
      </c>
      <c r="T174" s="17">
        <v>0.020777208</v>
      </c>
      <c r="U174" s="17">
        <v>0.0</v>
      </c>
      <c r="V174" s="17">
        <v>0.0</v>
      </c>
      <c r="W174" s="17">
        <v>0.0</v>
      </c>
      <c r="X174" s="19">
        <v>0.0</v>
      </c>
      <c r="Y174" s="17"/>
      <c r="Z174" s="20"/>
      <c r="AA174" s="17">
        <v>0.979495141</v>
      </c>
      <c r="AB174" s="17">
        <v>0.0</v>
      </c>
      <c r="AC174" s="17">
        <v>0.0</v>
      </c>
      <c r="AD174" s="17">
        <v>0.020504859</v>
      </c>
      <c r="AE174" s="17">
        <v>0.0</v>
      </c>
      <c r="AF174" s="17">
        <v>0.0</v>
      </c>
      <c r="AG174" s="17">
        <v>0.0</v>
      </c>
      <c r="AH174" s="17">
        <v>0.0</v>
      </c>
    </row>
    <row r="175">
      <c r="A175" s="32" t="s">
        <v>931</v>
      </c>
      <c r="B175" s="32" t="s">
        <v>932</v>
      </c>
      <c r="C175" s="32">
        <v>1.0</v>
      </c>
      <c r="D175" s="32" t="s">
        <v>36</v>
      </c>
      <c r="E175" s="32" t="s">
        <v>37</v>
      </c>
      <c r="F175" s="33">
        <v>43212.0</v>
      </c>
      <c r="G175" s="33">
        <v>43214.0</v>
      </c>
      <c r="H175" s="32">
        <v>2018.0</v>
      </c>
      <c r="I175" s="32" t="s">
        <v>933</v>
      </c>
      <c r="J175" s="32" t="s">
        <v>794</v>
      </c>
      <c r="K175" s="32" t="s">
        <v>122</v>
      </c>
      <c r="L175" s="32" t="s">
        <v>934</v>
      </c>
      <c r="M175" s="34" t="s">
        <v>935</v>
      </c>
      <c r="N175" s="35">
        <v>56727.0</v>
      </c>
      <c r="O175" s="36" t="s">
        <v>803</v>
      </c>
      <c r="P175" s="32">
        <v>2014.0</v>
      </c>
      <c r="Q175" s="38">
        <v>0.9012</v>
      </c>
      <c r="R175" s="39">
        <v>0.0</v>
      </c>
      <c r="S175" s="39">
        <v>0.0</v>
      </c>
      <c r="T175" s="39">
        <v>0.0984</v>
      </c>
      <c r="U175" s="39">
        <v>4.0E-4</v>
      </c>
      <c r="V175" s="39">
        <v>0.0</v>
      </c>
      <c r="W175" s="39">
        <v>0.0</v>
      </c>
      <c r="X175" s="40">
        <v>0.0</v>
      </c>
      <c r="Y175" s="39"/>
      <c r="Z175" s="41"/>
      <c r="AA175" s="39">
        <v>0.9024</v>
      </c>
      <c r="AB175" s="39">
        <v>0.0</v>
      </c>
      <c r="AC175" s="39">
        <v>0.0</v>
      </c>
      <c r="AD175" s="39">
        <v>0.0972</v>
      </c>
      <c r="AE175" s="39">
        <v>4.0E-4</v>
      </c>
      <c r="AF175" s="39">
        <v>0.0</v>
      </c>
      <c r="AG175" s="39">
        <v>0.0</v>
      </c>
      <c r="AH175" s="39">
        <v>0.0</v>
      </c>
    </row>
    <row r="176">
      <c r="A176" s="8" t="s">
        <v>936</v>
      </c>
      <c r="B176" s="8" t="s">
        <v>937</v>
      </c>
      <c r="C176" s="8">
        <v>1.0</v>
      </c>
      <c r="D176" s="8" t="s">
        <v>36</v>
      </c>
      <c r="E176" s="8" t="s">
        <v>37</v>
      </c>
      <c r="F176" s="9">
        <v>43125.0</v>
      </c>
      <c r="G176" s="9">
        <v>43126.0</v>
      </c>
      <c r="H176" s="8">
        <v>2018.0</v>
      </c>
      <c r="I176" s="8" t="s">
        <v>938</v>
      </c>
      <c r="J176" s="8" t="s">
        <v>794</v>
      </c>
      <c r="K176" s="8" t="s">
        <v>939</v>
      </c>
      <c r="L176" s="8" t="s">
        <v>940</v>
      </c>
      <c r="M176" s="10" t="s">
        <v>941</v>
      </c>
      <c r="N176" s="11">
        <v>71572.0</v>
      </c>
      <c r="O176" s="12" t="s">
        <v>803</v>
      </c>
      <c r="P176" s="8">
        <v>2014.0</v>
      </c>
      <c r="Q176" s="18">
        <v>0.038302804</v>
      </c>
      <c r="R176" s="17">
        <v>0.0</v>
      </c>
      <c r="S176" s="17">
        <v>0.0</v>
      </c>
      <c r="T176" s="17">
        <v>0.961697196</v>
      </c>
      <c r="U176" s="17">
        <v>0.0</v>
      </c>
      <c r="V176" s="17">
        <v>0.0</v>
      </c>
      <c r="W176" s="17">
        <v>0.0</v>
      </c>
      <c r="X176" s="19">
        <v>0.0</v>
      </c>
      <c r="Y176" s="17"/>
      <c r="Z176" s="20"/>
      <c r="AA176" s="17">
        <v>0.038802184</v>
      </c>
      <c r="AB176" s="17">
        <v>0.0</v>
      </c>
      <c r="AC176" s="17">
        <v>0.0</v>
      </c>
      <c r="AD176" s="17">
        <v>0.961197816</v>
      </c>
      <c r="AE176" s="17">
        <v>0.0</v>
      </c>
      <c r="AF176" s="17">
        <v>0.0</v>
      </c>
      <c r="AG176" s="17">
        <v>0.0</v>
      </c>
      <c r="AH176" s="17">
        <v>0.0</v>
      </c>
    </row>
    <row r="177">
      <c r="A177" s="8" t="s">
        <v>942</v>
      </c>
      <c r="B177" s="8" t="s">
        <v>943</v>
      </c>
      <c r="C177" s="8">
        <v>1.0</v>
      </c>
      <c r="D177" s="8" t="s">
        <v>36</v>
      </c>
      <c r="E177" s="8" t="s">
        <v>37</v>
      </c>
      <c r="F177" s="9">
        <v>42998.0</v>
      </c>
      <c r="G177" s="9">
        <v>43067.0</v>
      </c>
      <c r="H177" s="8">
        <v>2017.0</v>
      </c>
      <c r="I177" s="8" t="s">
        <v>944</v>
      </c>
      <c r="J177" s="8" t="s">
        <v>383</v>
      </c>
      <c r="K177" s="8" t="s">
        <v>48</v>
      </c>
      <c r="L177" s="8" t="s">
        <v>945</v>
      </c>
      <c r="M177" s="10" t="s">
        <v>946</v>
      </c>
      <c r="N177" s="11">
        <v>154972.0</v>
      </c>
      <c r="O177" s="12" t="s">
        <v>803</v>
      </c>
      <c r="P177" s="8">
        <v>2014.0</v>
      </c>
      <c r="Q177" s="18">
        <v>5.0731E-4</v>
      </c>
      <c r="R177" s="17">
        <v>0.614021101</v>
      </c>
      <c r="S177" s="17">
        <v>2.94137E-5</v>
      </c>
      <c r="T177" s="17">
        <v>0.266130941</v>
      </c>
      <c r="U177" s="17">
        <v>0.11883899</v>
      </c>
      <c r="V177" s="17">
        <v>4.72244E-4</v>
      </c>
      <c r="W177" s="17">
        <v>0.0</v>
      </c>
      <c r="X177" s="19">
        <v>0.0</v>
      </c>
      <c r="Y177" s="17"/>
      <c r="Z177" s="20"/>
      <c r="AA177" s="17">
        <v>5.02837E-4</v>
      </c>
      <c r="AB177" s="17">
        <v>0.616726659</v>
      </c>
      <c r="AC177" s="17">
        <v>1.48317E-4</v>
      </c>
      <c r="AD177" s="17">
        <v>0.260254076</v>
      </c>
      <c r="AE177" s="17">
        <v>0.121774056</v>
      </c>
      <c r="AF177" s="17">
        <v>5.94055E-4</v>
      </c>
      <c r="AG177" s="17">
        <v>0.0</v>
      </c>
      <c r="AH177" s="17">
        <v>0.0</v>
      </c>
    </row>
    <row r="178">
      <c r="A178" s="8" t="s">
        <v>947</v>
      </c>
      <c r="B178" s="8" t="s">
        <v>948</v>
      </c>
      <c r="C178" s="8">
        <v>1.0</v>
      </c>
      <c r="D178" s="8" t="s">
        <v>36</v>
      </c>
      <c r="E178" s="8" t="s">
        <v>37</v>
      </c>
      <c r="F178" s="9">
        <v>43077.0</v>
      </c>
      <c r="G178" s="9">
        <v>43084.0</v>
      </c>
      <c r="H178" s="8">
        <v>2017.0</v>
      </c>
      <c r="I178" s="8" t="s">
        <v>949</v>
      </c>
      <c r="J178" s="8" t="s">
        <v>837</v>
      </c>
      <c r="K178" s="8" t="s">
        <v>48</v>
      </c>
      <c r="L178" s="8" t="s">
        <v>950</v>
      </c>
      <c r="M178" s="10" t="s">
        <v>951</v>
      </c>
      <c r="N178" s="11">
        <v>52930.0</v>
      </c>
      <c r="O178" s="12" t="s">
        <v>803</v>
      </c>
      <c r="P178" s="8">
        <v>2014.0</v>
      </c>
      <c r="Q178" s="18">
        <v>1.97111E-4</v>
      </c>
      <c r="R178" s="17">
        <v>0.84042466</v>
      </c>
      <c r="S178" s="17">
        <v>0.0</v>
      </c>
      <c r="T178" s="17">
        <v>2.20266E-4</v>
      </c>
      <c r="U178" s="17">
        <v>0.158983001</v>
      </c>
      <c r="V178" s="17">
        <v>1.74962E-4</v>
      </c>
      <c r="W178" s="17">
        <v>0.0</v>
      </c>
      <c r="X178" s="19">
        <v>0.0</v>
      </c>
      <c r="Y178" s="17"/>
      <c r="Z178" s="20"/>
      <c r="AA178" s="17">
        <v>1.93886E-4</v>
      </c>
      <c r="AB178" s="17">
        <v>0.837704118</v>
      </c>
      <c r="AC178" s="17">
        <v>0.0</v>
      </c>
      <c r="AD178" s="17">
        <v>2.13763E-4</v>
      </c>
      <c r="AE178" s="17">
        <v>0.161669816</v>
      </c>
      <c r="AF178" s="17">
        <v>2.18417E-4</v>
      </c>
      <c r="AG178" s="17">
        <v>0.0</v>
      </c>
      <c r="AH178" s="17">
        <v>0.0</v>
      </c>
    </row>
    <row r="179">
      <c r="A179" s="8" t="s">
        <v>952</v>
      </c>
      <c r="B179" s="8" t="s">
        <v>953</v>
      </c>
      <c r="C179" s="8">
        <v>1.0</v>
      </c>
      <c r="D179" s="8" t="s">
        <v>36</v>
      </c>
      <c r="E179" s="8" t="s">
        <v>37</v>
      </c>
      <c r="F179" s="9">
        <v>42858.0</v>
      </c>
      <c r="G179" s="9">
        <v>43220.0</v>
      </c>
      <c r="H179" s="8">
        <v>2018.0</v>
      </c>
      <c r="I179" s="8" t="s">
        <v>954</v>
      </c>
      <c r="J179" s="8" t="s">
        <v>955</v>
      </c>
      <c r="K179" s="8" t="s">
        <v>122</v>
      </c>
      <c r="L179" s="8" t="s">
        <v>956</v>
      </c>
      <c r="M179" s="10" t="s">
        <v>957</v>
      </c>
      <c r="N179" s="11">
        <v>8330.0</v>
      </c>
      <c r="O179" s="12" t="s">
        <v>803</v>
      </c>
      <c r="P179" s="8">
        <v>2014.0</v>
      </c>
      <c r="Q179" s="18">
        <v>4.15667E-5</v>
      </c>
      <c r="R179" s="17">
        <v>0.999923603</v>
      </c>
      <c r="S179" s="17">
        <v>0.0</v>
      </c>
      <c r="T179" s="17">
        <v>0.0</v>
      </c>
      <c r="U179" s="17">
        <v>0.0</v>
      </c>
      <c r="V179" s="17">
        <v>3.483E-5</v>
      </c>
      <c r="W179" s="17">
        <v>0.0</v>
      </c>
      <c r="X179" s="19">
        <v>0.0</v>
      </c>
      <c r="Y179" s="17"/>
      <c r="Z179" s="20"/>
      <c r="AA179" s="17">
        <v>4.10191E-5</v>
      </c>
      <c r="AB179" s="17">
        <v>0.999915359</v>
      </c>
      <c r="AC179" s="17">
        <v>0.0</v>
      </c>
      <c r="AD179" s="17">
        <v>0.0</v>
      </c>
      <c r="AE179" s="17">
        <v>0.0</v>
      </c>
      <c r="AF179" s="17">
        <v>4.36214E-5</v>
      </c>
      <c r="AG179" s="17">
        <v>0.0</v>
      </c>
      <c r="AH179" s="17">
        <v>0.0</v>
      </c>
    </row>
    <row r="180">
      <c r="A180" s="8" t="s">
        <v>958</v>
      </c>
      <c r="B180" s="8" t="s">
        <v>959</v>
      </c>
      <c r="C180" s="8">
        <v>1.0</v>
      </c>
      <c r="D180" s="8" t="s">
        <v>36</v>
      </c>
      <c r="E180" s="8" t="s">
        <v>37</v>
      </c>
      <c r="F180" s="9">
        <v>43070.0</v>
      </c>
      <c r="G180" s="9">
        <v>43102.0</v>
      </c>
      <c r="H180" s="8">
        <v>2018.0</v>
      </c>
      <c r="I180" s="8" t="s">
        <v>960</v>
      </c>
      <c r="J180" s="8" t="s">
        <v>383</v>
      </c>
      <c r="K180" s="8" t="s">
        <v>48</v>
      </c>
      <c r="L180" s="8" t="s">
        <v>961</v>
      </c>
      <c r="M180" s="10" t="s">
        <v>962</v>
      </c>
      <c r="N180" s="11">
        <v>119844.0</v>
      </c>
      <c r="O180" s="12" t="s">
        <v>803</v>
      </c>
      <c r="P180" s="8">
        <v>2014.0</v>
      </c>
      <c r="Q180" s="18">
        <v>0.002015461</v>
      </c>
      <c r="R180" s="17">
        <v>0.824914171</v>
      </c>
      <c r="S180" s="17">
        <v>5.22183E-6</v>
      </c>
      <c r="T180" s="17">
        <v>0.172188025</v>
      </c>
      <c r="U180" s="17">
        <v>6.05578E-4</v>
      </c>
      <c r="V180" s="17">
        <v>2.71543E-4</v>
      </c>
      <c r="W180" s="17">
        <v>0.0</v>
      </c>
      <c r="X180" s="19">
        <v>0.0</v>
      </c>
      <c r="Y180" s="17"/>
      <c r="Z180" s="20"/>
      <c r="AA180" s="17">
        <v>0.001997846</v>
      </c>
      <c r="AB180" s="17">
        <v>0.828614622</v>
      </c>
      <c r="AC180" s="17">
        <v>2.6333E-5</v>
      </c>
      <c r="AD180" s="17">
        <v>0.168399003</v>
      </c>
      <c r="AE180" s="17">
        <v>6.20583E-4</v>
      </c>
      <c r="AF180" s="17">
        <v>3.41612E-4</v>
      </c>
      <c r="AG180" s="17">
        <v>0.0</v>
      </c>
      <c r="AH180" s="17">
        <v>0.0</v>
      </c>
    </row>
    <row r="181">
      <c r="A181" s="8" t="s">
        <v>963</v>
      </c>
      <c r="B181" s="8" t="s">
        <v>964</v>
      </c>
      <c r="C181" s="8">
        <v>1.0</v>
      </c>
      <c r="D181" s="8" t="s">
        <v>36</v>
      </c>
      <c r="E181" s="8" t="s">
        <v>37</v>
      </c>
      <c r="F181" s="9">
        <v>43110.0</v>
      </c>
      <c r="G181" s="9">
        <v>43143.0</v>
      </c>
      <c r="H181" s="8">
        <v>2018.0</v>
      </c>
      <c r="I181" s="8" t="s">
        <v>965</v>
      </c>
      <c r="J181" s="8" t="s">
        <v>383</v>
      </c>
      <c r="K181" s="8" t="s">
        <v>48</v>
      </c>
      <c r="L181" s="8" t="s">
        <v>966</v>
      </c>
      <c r="M181" s="10" t="s">
        <v>967</v>
      </c>
      <c r="N181" s="11">
        <v>97831.0</v>
      </c>
      <c r="O181" s="12" t="s">
        <v>803</v>
      </c>
      <c r="P181" s="8">
        <v>2014.0</v>
      </c>
      <c r="Q181" s="18">
        <v>0.25197807</v>
      </c>
      <c r="R181" s="17">
        <v>0.637047681</v>
      </c>
      <c r="S181" s="17">
        <v>0.110664271</v>
      </c>
      <c r="T181" s="17">
        <v>1.54964E-4</v>
      </c>
      <c r="U181" s="17">
        <v>1.09713E-4</v>
      </c>
      <c r="V181" s="17">
        <v>4.53014E-5</v>
      </c>
      <c r="W181" s="17">
        <v>0.0</v>
      </c>
      <c r="X181" s="19">
        <v>0.0</v>
      </c>
      <c r="Y181" s="17"/>
      <c r="Z181" s="20"/>
      <c r="AA181" s="17">
        <v>0.172489135</v>
      </c>
      <c r="AB181" s="17">
        <v>0.441903065</v>
      </c>
      <c r="AC181" s="17">
        <v>0.385386141</v>
      </c>
      <c r="AD181" s="17">
        <v>1.0466E-4</v>
      </c>
      <c r="AE181" s="17">
        <v>7.76423E-5</v>
      </c>
      <c r="AF181" s="17">
        <v>3.93566E-5</v>
      </c>
      <c r="AG181" s="17">
        <v>0.0</v>
      </c>
      <c r="AH181" s="17">
        <v>0.0</v>
      </c>
    </row>
    <row r="182">
      <c r="A182" s="8" t="s">
        <v>968</v>
      </c>
      <c r="B182" s="8" t="s">
        <v>969</v>
      </c>
      <c r="C182" s="8">
        <v>1.0</v>
      </c>
      <c r="D182" s="8" t="s">
        <v>36</v>
      </c>
      <c r="E182" s="8" t="s">
        <v>37</v>
      </c>
      <c r="F182" s="9">
        <v>43154.0</v>
      </c>
      <c r="G182" s="9">
        <v>43222.0</v>
      </c>
      <c r="H182" s="8">
        <v>2018.0</v>
      </c>
      <c r="I182" s="8" t="s">
        <v>970</v>
      </c>
      <c r="J182" s="8" t="s">
        <v>383</v>
      </c>
      <c r="K182" s="8" t="s">
        <v>424</v>
      </c>
      <c r="L182" s="8" t="s">
        <v>971</v>
      </c>
      <c r="M182" s="10" t="s">
        <v>972</v>
      </c>
      <c r="N182" s="11">
        <v>110290.0</v>
      </c>
      <c r="O182" s="12" t="s">
        <v>803</v>
      </c>
      <c r="P182" s="8">
        <v>2014.0</v>
      </c>
      <c r="Q182" s="18">
        <v>0.832718109</v>
      </c>
      <c r="R182" s="17">
        <v>0.108076542</v>
      </c>
      <c r="S182" s="17">
        <v>0.0</v>
      </c>
      <c r="T182" s="17">
        <v>0.046183322</v>
      </c>
      <c r="U182" s="17">
        <v>0.005606171</v>
      </c>
      <c r="V182" s="17">
        <v>0.007415856</v>
      </c>
      <c r="W182" s="17">
        <v>0.0</v>
      </c>
      <c r="X182" s="19">
        <v>0.0</v>
      </c>
      <c r="Y182" s="17"/>
      <c r="Z182" s="20"/>
      <c r="AA182" s="17">
        <v>0.830219704</v>
      </c>
      <c r="AB182" s="17">
        <v>0.10918992</v>
      </c>
      <c r="AC182" s="17">
        <v>0.0</v>
      </c>
      <c r="AD182" s="17">
        <v>0.045428565</v>
      </c>
      <c r="AE182" s="17">
        <v>0.00577835</v>
      </c>
      <c r="AF182" s="17">
        <v>0.009383462</v>
      </c>
      <c r="AG182" s="17">
        <v>0.0</v>
      </c>
      <c r="AH182" s="17">
        <v>0.0</v>
      </c>
    </row>
    <row r="183">
      <c r="A183" s="32" t="s">
        <v>973</v>
      </c>
      <c r="B183" s="32" t="s">
        <v>974</v>
      </c>
      <c r="C183" s="32">
        <v>1.0</v>
      </c>
      <c r="D183" s="32" t="s">
        <v>36</v>
      </c>
      <c r="E183" s="32" t="s">
        <v>37</v>
      </c>
      <c r="F183" s="33">
        <v>43234.0</v>
      </c>
      <c r="G183" s="33">
        <v>43236.0</v>
      </c>
      <c r="H183" s="32">
        <v>2018.0</v>
      </c>
      <c r="I183" s="32" t="s">
        <v>975</v>
      </c>
      <c r="J183" s="32" t="s">
        <v>794</v>
      </c>
      <c r="K183" s="32" t="s">
        <v>939</v>
      </c>
      <c r="L183" s="32" t="s">
        <v>976</v>
      </c>
      <c r="M183" s="34" t="s">
        <v>977</v>
      </c>
      <c r="N183" s="35">
        <v>123703.0</v>
      </c>
      <c r="O183" s="36" t="s">
        <v>803</v>
      </c>
      <c r="P183" s="32">
        <v>2014.0</v>
      </c>
      <c r="Q183" s="38">
        <v>1.31911E-4</v>
      </c>
      <c r="R183" s="39">
        <v>0.999501462</v>
      </c>
      <c r="S183" s="39">
        <v>0.0</v>
      </c>
      <c r="T183" s="39">
        <v>5.75146E-5</v>
      </c>
      <c r="U183" s="39">
        <v>2.35424E-4</v>
      </c>
      <c r="V183" s="39">
        <v>7.36881E-5</v>
      </c>
      <c r="W183" s="39">
        <v>0.0</v>
      </c>
      <c r="X183" s="40">
        <v>0.0</v>
      </c>
      <c r="Y183" s="39"/>
      <c r="Z183" s="41"/>
      <c r="AA183" s="39">
        <v>1.30172E-4</v>
      </c>
      <c r="AB183" s="39">
        <v>0.99948137</v>
      </c>
      <c r="AC183" s="39">
        <v>0.0</v>
      </c>
      <c r="AD183" s="39">
        <v>5.59967E-5</v>
      </c>
      <c r="AE183" s="39">
        <v>2.40175E-4</v>
      </c>
      <c r="AF183" s="39">
        <v>9.22867E-5</v>
      </c>
      <c r="AG183" s="39">
        <v>0.0</v>
      </c>
      <c r="AH183" s="39">
        <v>0.0</v>
      </c>
    </row>
    <row r="184">
      <c r="A184" s="8" t="s">
        <v>978</v>
      </c>
      <c r="B184" s="8" t="s">
        <v>979</v>
      </c>
      <c r="C184" s="8">
        <v>1.0</v>
      </c>
      <c r="D184" s="8" t="s">
        <v>36</v>
      </c>
      <c r="E184" s="8" t="s">
        <v>37</v>
      </c>
      <c r="F184" s="9">
        <v>43251.0</v>
      </c>
      <c r="G184" s="9">
        <v>43253.0</v>
      </c>
      <c r="H184" s="8">
        <v>2018.0</v>
      </c>
      <c r="I184" s="8" t="s">
        <v>980</v>
      </c>
      <c r="J184" s="8" t="s">
        <v>794</v>
      </c>
      <c r="K184" s="8" t="s">
        <v>939</v>
      </c>
      <c r="L184" s="8" t="s">
        <v>981</v>
      </c>
      <c r="M184" s="10" t="s">
        <v>982</v>
      </c>
      <c r="N184" s="11">
        <v>50473.0</v>
      </c>
      <c r="O184" s="12" t="s">
        <v>803</v>
      </c>
      <c r="P184" s="8">
        <v>2014.0</v>
      </c>
      <c r="Q184" s="18">
        <v>0.0</v>
      </c>
      <c r="R184" s="17">
        <v>0.0</v>
      </c>
      <c r="S184" s="17">
        <v>0.0</v>
      </c>
      <c r="T184" s="17">
        <v>0.965436126</v>
      </c>
      <c r="U184" s="17">
        <v>0.034563874</v>
      </c>
      <c r="V184" s="17">
        <v>0.0</v>
      </c>
      <c r="W184" s="17">
        <v>0.0</v>
      </c>
      <c r="X184" s="19">
        <v>0.0</v>
      </c>
      <c r="Y184" s="17"/>
      <c r="Z184" s="20"/>
      <c r="AA184" s="17">
        <v>0.0</v>
      </c>
      <c r="AB184" s="17">
        <v>0.0</v>
      </c>
      <c r="AC184" s="17">
        <v>0.0</v>
      </c>
      <c r="AD184" s="17">
        <v>0.963842485</v>
      </c>
      <c r="AE184" s="17">
        <v>0.036157515</v>
      </c>
      <c r="AF184" s="17">
        <v>0.0</v>
      </c>
      <c r="AG184" s="17">
        <v>0.0</v>
      </c>
      <c r="AH184" s="17">
        <v>0.0</v>
      </c>
    </row>
    <row r="185">
      <c r="A185" s="8" t="s">
        <v>983</v>
      </c>
      <c r="B185" s="8" t="s">
        <v>984</v>
      </c>
      <c r="C185" s="8">
        <v>1.0</v>
      </c>
      <c r="D185" s="8" t="s">
        <v>36</v>
      </c>
      <c r="E185" s="8" t="s">
        <v>37</v>
      </c>
      <c r="F185" s="9">
        <v>43320.0</v>
      </c>
      <c r="G185" s="9">
        <v>43322.0</v>
      </c>
      <c r="H185" s="8">
        <v>2018.0</v>
      </c>
      <c r="I185" s="8" t="s">
        <v>985</v>
      </c>
      <c r="J185" s="8" t="s">
        <v>794</v>
      </c>
      <c r="K185" s="8" t="s">
        <v>939</v>
      </c>
      <c r="L185" s="8" t="s">
        <v>986</v>
      </c>
      <c r="M185" s="10" t="s">
        <v>987</v>
      </c>
      <c r="N185" s="11">
        <v>58745.0</v>
      </c>
      <c r="O185" s="12" t="s">
        <v>803</v>
      </c>
      <c r="P185" s="8">
        <v>2014.0</v>
      </c>
      <c r="Q185" s="18">
        <v>0.995012377</v>
      </c>
      <c r="R185" s="17">
        <v>0.0</v>
      </c>
      <c r="S185" s="17">
        <v>0.0</v>
      </c>
      <c r="T185" s="17">
        <v>0.004987623</v>
      </c>
      <c r="U185" s="17">
        <v>0.0</v>
      </c>
      <c r="V185" s="17">
        <v>0.0</v>
      </c>
      <c r="W185" s="17">
        <v>0.0</v>
      </c>
      <c r="X185" s="19">
        <v>0.0</v>
      </c>
      <c r="Y185" s="17"/>
      <c r="Z185" s="20"/>
      <c r="AA185" s="17">
        <v>0.995078795</v>
      </c>
      <c r="AB185" s="17">
        <v>0.0</v>
      </c>
      <c r="AC185" s="17">
        <v>0.0</v>
      </c>
      <c r="AD185" s="17">
        <v>0.004921205</v>
      </c>
      <c r="AE185" s="17">
        <v>0.0</v>
      </c>
      <c r="AF185" s="17">
        <v>0.0</v>
      </c>
      <c r="AG185" s="17">
        <v>0.0</v>
      </c>
      <c r="AH185" s="17">
        <v>0.0</v>
      </c>
    </row>
    <row r="186">
      <c r="A186" s="8" t="s">
        <v>988</v>
      </c>
      <c r="B186" s="8" t="s">
        <v>989</v>
      </c>
      <c r="C186" s="8">
        <v>1.0</v>
      </c>
      <c r="D186" s="8" t="s">
        <v>36</v>
      </c>
      <c r="E186" s="8" t="s">
        <v>37</v>
      </c>
      <c r="F186" s="9">
        <v>43140.0</v>
      </c>
      <c r="G186" s="9">
        <v>43231.0</v>
      </c>
      <c r="H186" s="8">
        <v>2018.0</v>
      </c>
      <c r="I186" s="8" t="s">
        <v>990</v>
      </c>
      <c r="J186" s="8" t="s">
        <v>383</v>
      </c>
      <c r="K186" s="8" t="s">
        <v>424</v>
      </c>
      <c r="L186" s="8" t="s">
        <v>991</v>
      </c>
      <c r="M186" s="10" t="s">
        <v>992</v>
      </c>
      <c r="N186" s="11">
        <v>102700.0</v>
      </c>
      <c r="O186" s="12" t="s">
        <v>803</v>
      </c>
      <c r="P186" s="8">
        <v>2014.0</v>
      </c>
      <c r="Q186" s="18">
        <v>0.3675</v>
      </c>
      <c r="R186" s="17">
        <v>0.4795</v>
      </c>
      <c r="S186" s="17">
        <v>0.0</v>
      </c>
      <c r="T186" s="17">
        <v>0.002</v>
      </c>
      <c r="U186" s="17">
        <v>0.149</v>
      </c>
      <c r="V186" s="17">
        <v>0.002</v>
      </c>
      <c r="W186" s="17">
        <v>0.0</v>
      </c>
      <c r="X186" s="19">
        <v>0.0</v>
      </c>
      <c r="Y186" s="17"/>
      <c r="Z186" s="20"/>
      <c r="AA186" s="17">
        <v>0.3631</v>
      </c>
      <c r="AB186" s="17">
        <v>0.4802</v>
      </c>
      <c r="AC186" s="17">
        <v>0.0</v>
      </c>
      <c r="AD186" s="17">
        <v>0.002</v>
      </c>
      <c r="AE186" s="17">
        <v>0.1522</v>
      </c>
      <c r="AF186" s="17">
        <v>0.0025</v>
      </c>
      <c r="AG186" s="17">
        <v>0.0</v>
      </c>
      <c r="AH186" s="17">
        <v>0.0</v>
      </c>
    </row>
    <row r="187">
      <c r="A187" s="8" t="s">
        <v>993</v>
      </c>
      <c r="B187" s="8" t="s">
        <v>994</v>
      </c>
      <c r="C187" s="8">
        <v>1.0</v>
      </c>
      <c r="D187" s="8" t="s">
        <v>36</v>
      </c>
      <c r="E187" s="8" t="s">
        <v>37</v>
      </c>
      <c r="F187" s="9">
        <v>43237.0</v>
      </c>
      <c r="G187" s="9">
        <v>43280.0</v>
      </c>
      <c r="H187" s="8">
        <v>2018.0</v>
      </c>
      <c r="I187" s="8" t="s">
        <v>995</v>
      </c>
      <c r="J187" s="8" t="s">
        <v>383</v>
      </c>
      <c r="K187" s="8" t="s">
        <v>424</v>
      </c>
      <c r="L187" s="8" t="s">
        <v>996</v>
      </c>
      <c r="M187" s="10" t="s">
        <v>997</v>
      </c>
      <c r="N187" s="11">
        <v>159218.0</v>
      </c>
      <c r="O187" s="12" t="s">
        <v>803</v>
      </c>
      <c r="P187" s="8">
        <v>2014.0</v>
      </c>
      <c r="Q187" s="18">
        <v>0.5493</v>
      </c>
      <c r="R187" s="17">
        <v>0.4347</v>
      </c>
      <c r="S187" s="17">
        <v>0.0</v>
      </c>
      <c r="T187" s="17">
        <v>0.0147</v>
      </c>
      <c r="U187" s="17">
        <v>0.001</v>
      </c>
      <c r="V187" s="17">
        <v>2.0E-4</v>
      </c>
      <c r="W187" s="17">
        <v>0.0</v>
      </c>
      <c r="X187" s="19">
        <v>0.0</v>
      </c>
      <c r="Y187" s="17"/>
      <c r="Z187" s="20"/>
      <c r="AA187" s="17">
        <v>0.5462</v>
      </c>
      <c r="AB187" s="17">
        <v>0.438</v>
      </c>
      <c r="AC187" s="17">
        <v>0.0</v>
      </c>
      <c r="AD187" s="17">
        <v>0.0144</v>
      </c>
      <c r="AE187" s="17">
        <v>0.0011</v>
      </c>
      <c r="AF187" s="17">
        <v>3.0E-4</v>
      </c>
      <c r="AG187" s="17">
        <v>0.0</v>
      </c>
      <c r="AH187" s="17">
        <v>0.0</v>
      </c>
    </row>
    <row r="188">
      <c r="A188" s="8" t="s">
        <v>998</v>
      </c>
      <c r="B188" s="8" t="s">
        <v>999</v>
      </c>
      <c r="C188" s="8">
        <v>1.0</v>
      </c>
      <c r="D188" s="8" t="s">
        <v>36</v>
      </c>
      <c r="E188" s="8" t="s">
        <v>37</v>
      </c>
      <c r="F188" s="9">
        <v>43206.0</v>
      </c>
      <c r="G188" s="9">
        <v>43227.0</v>
      </c>
      <c r="H188" s="8">
        <v>2018.0</v>
      </c>
      <c r="I188" s="8" t="s">
        <v>1000</v>
      </c>
      <c r="J188" s="8" t="s">
        <v>377</v>
      </c>
      <c r="K188" s="8" t="s">
        <v>424</v>
      </c>
      <c r="L188" s="8" t="s">
        <v>1001</v>
      </c>
      <c r="M188" s="10" t="s">
        <v>1002</v>
      </c>
      <c r="N188" s="11">
        <v>60855.0</v>
      </c>
      <c r="O188" s="12" t="s">
        <v>803</v>
      </c>
      <c r="P188" s="8">
        <v>2014.0</v>
      </c>
      <c r="Q188" s="18">
        <v>0.872482542</v>
      </c>
      <c r="R188" s="17">
        <v>0.095356787</v>
      </c>
      <c r="S188" s="17">
        <v>4.6268E-5</v>
      </c>
      <c r="T188" s="17">
        <v>0.021834116</v>
      </c>
      <c r="U188" s="17">
        <v>0.005818939</v>
      </c>
      <c r="V188" s="17">
        <v>0.004461347</v>
      </c>
      <c r="W188" s="17">
        <v>0.0</v>
      </c>
      <c r="X188" s="19">
        <v>0.0</v>
      </c>
      <c r="Y188" s="17"/>
      <c r="Z188" s="20"/>
      <c r="AA188" s="17">
        <v>0.870248936</v>
      </c>
      <c r="AB188" s="17">
        <v>0.096381669</v>
      </c>
      <c r="AC188" s="17">
        <v>2.34778E-4</v>
      </c>
      <c r="AD188" s="17">
        <v>0.021486773</v>
      </c>
      <c r="AE188" s="17">
        <v>0.006000301</v>
      </c>
      <c r="AF188" s="17">
        <v>0.005647543</v>
      </c>
      <c r="AG188" s="17">
        <v>0.0</v>
      </c>
      <c r="AH188" s="17">
        <v>0.0</v>
      </c>
    </row>
    <row r="189">
      <c r="A189" s="8" t="s">
        <v>1003</v>
      </c>
      <c r="B189" s="8" t="s">
        <v>1004</v>
      </c>
      <c r="C189" s="8">
        <v>1.0</v>
      </c>
      <c r="D189" s="8" t="s">
        <v>36</v>
      </c>
      <c r="E189" s="8" t="s">
        <v>37</v>
      </c>
      <c r="F189" s="9">
        <v>43333.0</v>
      </c>
      <c r="G189" s="9">
        <v>43336.0</v>
      </c>
      <c r="H189" s="8">
        <v>2018.0</v>
      </c>
      <c r="I189" s="8" t="s">
        <v>1005</v>
      </c>
      <c r="J189" s="8" t="s">
        <v>794</v>
      </c>
      <c r="K189" s="8" t="s">
        <v>939</v>
      </c>
      <c r="L189" s="8" t="s">
        <v>1006</v>
      </c>
      <c r="M189" s="10" t="s">
        <v>1007</v>
      </c>
      <c r="N189" s="11">
        <v>97696.0</v>
      </c>
      <c r="O189" s="12" t="s">
        <v>803</v>
      </c>
      <c r="P189" s="8">
        <v>2014.0</v>
      </c>
      <c r="Q189" s="18">
        <v>2.0E-4</v>
      </c>
      <c r="R189" s="17">
        <v>0.9962</v>
      </c>
      <c r="S189" s="17">
        <v>0.0</v>
      </c>
      <c r="T189" s="17">
        <v>0.0</v>
      </c>
      <c r="U189" s="17">
        <v>0.0028</v>
      </c>
      <c r="V189" s="17">
        <v>8.0E-4</v>
      </c>
      <c r="W189" s="17">
        <v>0.0</v>
      </c>
      <c r="X189" s="19">
        <v>0.0</v>
      </c>
      <c r="Y189" s="17"/>
      <c r="Z189" s="20"/>
      <c r="AA189" s="17">
        <v>2.0E-4</v>
      </c>
      <c r="AB189" s="17">
        <v>0.9958</v>
      </c>
      <c r="AC189" s="17">
        <v>1.0E-4</v>
      </c>
      <c r="AD189" s="17">
        <v>0.0</v>
      </c>
      <c r="AE189" s="17">
        <v>0.0029</v>
      </c>
      <c r="AF189" s="17">
        <v>0.001</v>
      </c>
      <c r="AG189" s="17">
        <v>0.0</v>
      </c>
      <c r="AH189" s="17">
        <v>0.0</v>
      </c>
    </row>
    <row r="190">
      <c r="A190" s="8" t="s">
        <v>1008</v>
      </c>
      <c r="B190" s="8" t="s">
        <v>1009</v>
      </c>
      <c r="C190" s="8">
        <v>1.0</v>
      </c>
      <c r="D190" s="8" t="s">
        <v>36</v>
      </c>
      <c r="E190" s="8" t="s">
        <v>37</v>
      </c>
      <c r="F190" s="9">
        <v>43437.0</v>
      </c>
      <c r="G190" s="9">
        <v>43440.0</v>
      </c>
      <c r="H190" s="8">
        <v>2018.0</v>
      </c>
      <c r="I190" s="8" t="s">
        <v>1010</v>
      </c>
      <c r="J190" s="8" t="s">
        <v>794</v>
      </c>
      <c r="K190" s="8" t="s">
        <v>939</v>
      </c>
      <c r="L190" s="8" t="s">
        <v>1011</v>
      </c>
      <c r="M190" s="10" t="s">
        <v>1012</v>
      </c>
      <c r="N190" s="11">
        <v>140146.0</v>
      </c>
      <c r="O190" s="12" t="s">
        <v>803</v>
      </c>
      <c r="P190" s="8">
        <v>2014.0</v>
      </c>
      <c r="Q190" s="18">
        <v>4.23531E-5</v>
      </c>
      <c r="R190" s="17">
        <v>0.999695672</v>
      </c>
      <c r="S190" s="17">
        <v>0.0</v>
      </c>
      <c r="T190" s="17">
        <v>1.10798E-4</v>
      </c>
      <c r="U190" s="17">
        <v>1.51176E-4</v>
      </c>
      <c r="V190" s="17">
        <v>0.0</v>
      </c>
      <c r="W190" s="17">
        <v>0.0</v>
      </c>
      <c r="X190" s="19">
        <v>0.0</v>
      </c>
      <c r="Y190" s="17"/>
      <c r="Z190" s="20"/>
      <c r="AA190" s="17">
        <v>4.17955E-5</v>
      </c>
      <c r="AB190" s="17">
        <v>0.999696098</v>
      </c>
      <c r="AC190" s="17">
        <v>0.0</v>
      </c>
      <c r="AD190" s="17">
        <v>1.07876E-4</v>
      </c>
      <c r="AE190" s="17">
        <v>1.5423E-4</v>
      </c>
      <c r="AF190" s="17">
        <v>0.0</v>
      </c>
      <c r="AG190" s="17">
        <v>0.0</v>
      </c>
      <c r="AH190" s="17">
        <v>0.0</v>
      </c>
    </row>
    <row r="191">
      <c r="A191" s="32" t="s">
        <v>1013</v>
      </c>
      <c r="B191" s="32" t="s">
        <v>1014</v>
      </c>
      <c r="C191" s="32">
        <v>1.0</v>
      </c>
      <c r="D191" s="32" t="s">
        <v>36</v>
      </c>
      <c r="E191" s="32" t="s">
        <v>37</v>
      </c>
      <c r="F191" s="33">
        <v>43283.0</v>
      </c>
      <c r="G191" s="33">
        <v>43324.0</v>
      </c>
      <c r="H191" s="32">
        <v>2018.0</v>
      </c>
      <c r="I191" s="32" t="s">
        <v>1015</v>
      </c>
      <c r="J191" s="32" t="s">
        <v>383</v>
      </c>
      <c r="K191" s="32" t="s">
        <v>48</v>
      </c>
      <c r="L191" s="32" t="s">
        <v>1016</v>
      </c>
      <c r="M191" s="34" t="s">
        <v>1017</v>
      </c>
      <c r="N191" s="35">
        <v>128012.0</v>
      </c>
      <c r="O191" s="36" t="s">
        <v>803</v>
      </c>
      <c r="P191" s="32">
        <v>2014.0</v>
      </c>
      <c r="Q191" s="38">
        <v>0.966287974</v>
      </c>
      <c r="R191" s="39">
        <v>0.00122243</v>
      </c>
      <c r="S191" s="39">
        <v>8.75932E-6</v>
      </c>
      <c r="T191" s="39">
        <v>0.003219284</v>
      </c>
      <c r="U191" s="39">
        <v>0.029261553</v>
      </c>
      <c r="V191" s="39">
        <v>0.0</v>
      </c>
      <c r="W191" s="39">
        <v>0.0</v>
      </c>
      <c r="X191" s="40">
        <v>0.0</v>
      </c>
      <c r="Y191" s="39"/>
      <c r="Z191" s="41"/>
      <c r="AA191" s="39">
        <v>0.965324113</v>
      </c>
      <c r="AB191" s="39">
        <v>0.001237504</v>
      </c>
      <c r="AC191" s="39">
        <v>4.45171E-5</v>
      </c>
      <c r="AD191" s="39">
        <v>0.003173033</v>
      </c>
      <c r="AE191" s="39">
        <v>0.030220832</v>
      </c>
      <c r="AF191" s="39">
        <v>0.0</v>
      </c>
      <c r="AG191" s="39">
        <v>0.0</v>
      </c>
      <c r="AH191" s="39">
        <v>0.0</v>
      </c>
    </row>
    <row r="192">
      <c r="A192" s="8" t="s">
        <v>1018</v>
      </c>
      <c r="B192" s="8" t="s">
        <v>1019</v>
      </c>
      <c r="C192" s="8">
        <v>1.0</v>
      </c>
      <c r="D192" s="8" t="s">
        <v>36</v>
      </c>
      <c r="E192" s="8" t="s">
        <v>37</v>
      </c>
      <c r="F192" s="9">
        <v>43306.0</v>
      </c>
      <c r="G192" s="9">
        <v>43339.0</v>
      </c>
      <c r="H192" s="8">
        <v>2018.0</v>
      </c>
      <c r="I192" s="8" t="s">
        <v>1020</v>
      </c>
      <c r="J192" s="8" t="s">
        <v>383</v>
      </c>
      <c r="K192" s="8" t="s">
        <v>48</v>
      </c>
      <c r="L192" s="8" t="s">
        <v>1021</v>
      </c>
      <c r="M192" s="10" t="s">
        <v>1022</v>
      </c>
      <c r="N192" s="11">
        <v>93703.0</v>
      </c>
      <c r="O192" s="12" t="s">
        <v>803</v>
      </c>
      <c r="P192" s="8">
        <v>2014.0</v>
      </c>
      <c r="Q192" s="18">
        <v>0.0012</v>
      </c>
      <c r="R192" s="17">
        <v>0.8279</v>
      </c>
      <c r="S192" s="17">
        <v>0.0</v>
      </c>
      <c r="T192" s="17">
        <v>0.1659</v>
      </c>
      <c r="U192" s="17">
        <v>0.0039</v>
      </c>
      <c r="V192" s="17">
        <v>0.0011</v>
      </c>
      <c r="W192" s="17">
        <v>0.0</v>
      </c>
      <c r="X192" s="19">
        <v>0.0</v>
      </c>
      <c r="Y192" s="17"/>
      <c r="Z192" s="20"/>
      <c r="AA192" s="17">
        <v>0.0012</v>
      </c>
      <c r="AB192" s="17">
        <v>0.8312</v>
      </c>
      <c r="AC192" s="17">
        <v>1.0E-4</v>
      </c>
      <c r="AD192" s="17">
        <v>0.1622</v>
      </c>
      <c r="AE192" s="17">
        <v>0.004</v>
      </c>
      <c r="AF192" s="17">
        <v>0.0014</v>
      </c>
      <c r="AG192" s="17">
        <v>0.0</v>
      </c>
      <c r="AH192" s="17">
        <v>0.0</v>
      </c>
    </row>
    <row r="193">
      <c r="A193" s="8" t="s">
        <v>1023</v>
      </c>
      <c r="B193" s="8" t="s">
        <v>1024</v>
      </c>
      <c r="C193" s="8">
        <v>1.0</v>
      </c>
      <c r="D193" s="8" t="s">
        <v>36</v>
      </c>
      <c r="E193" s="8" t="s">
        <v>37</v>
      </c>
      <c r="F193" s="9">
        <v>43354.0</v>
      </c>
      <c r="G193" s="9">
        <v>43430.0</v>
      </c>
      <c r="H193" s="8">
        <v>2018.0</v>
      </c>
      <c r="I193" s="8" t="s">
        <v>1025</v>
      </c>
      <c r="J193" s="8" t="s">
        <v>383</v>
      </c>
      <c r="K193" s="8" t="s">
        <v>48</v>
      </c>
      <c r="L193" s="8" t="s">
        <v>1026</v>
      </c>
      <c r="M193" s="10" t="s">
        <v>1027</v>
      </c>
      <c r="N193" s="11">
        <v>138241.0</v>
      </c>
      <c r="O193" s="12" t="s">
        <v>803</v>
      </c>
      <c r="P193" s="8">
        <v>2014.0</v>
      </c>
      <c r="Q193" s="18">
        <v>0.828808808</v>
      </c>
      <c r="R193" s="17">
        <v>0.003554096</v>
      </c>
      <c r="S193" s="17">
        <v>0.0</v>
      </c>
      <c r="T193" s="17">
        <v>0.167562181</v>
      </c>
      <c r="U193" s="17">
        <v>7.49151E-5</v>
      </c>
      <c r="V193" s="17">
        <v>0.0</v>
      </c>
      <c r="W193" s="17">
        <v>0.0</v>
      </c>
      <c r="X193" s="19">
        <v>0.0</v>
      </c>
      <c r="Y193" s="17"/>
      <c r="Z193" s="20"/>
      <c r="AA193" s="17">
        <v>0.83062992</v>
      </c>
      <c r="AB193" s="17">
        <v>0.003609428</v>
      </c>
      <c r="AC193" s="17">
        <v>0.0</v>
      </c>
      <c r="AD193" s="17">
        <v>0.165683034</v>
      </c>
      <c r="AE193" s="17">
        <v>7.76184E-5</v>
      </c>
      <c r="AF193" s="17">
        <v>0.0</v>
      </c>
      <c r="AG193" s="17">
        <v>0.0</v>
      </c>
      <c r="AH193" s="17">
        <v>0.0</v>
      </c>
    </row>
    <row r="194">
      <c r="A194" s="8" t="s">
        <v>1028</v>
      </c>
      <c r="B194" s="8" t="s">
        <v>1029</v>
      </c>
      <c r="C194" s="8">
        <v>1.0</v>
      </c>
      <c r="D194" s="8" t="s">
        <v>36</v>
      </c>
      <c r="E194" s="8" t="s">
        <v>37</v>
      </c>
      <c r="F194" s="9">
        <v>43456.0</v>
      </c>
      <c r="G194" s="9">
        <v>43458.0</v>
      </c>
      <c r="H194" s="8">
        <v>2018.0</v>
      </c>
      <c r="I194" s="8" t="s">
        <v>1030</v>
      </c>
      <c r="J194" s="8" t="s">
        <v>794</v>
      </c>
      <c r="K194" s="8" t="s">
        <v>48</v>
      </c>
      <c r="L194" s="8" t="s">
        <v>1031</v>
      </c>
      <c r="M194" s="10" t="s">
        <v>1032</v>
      </c>
      <c r="N194" s="11">
        <v>56139.0</v>
      </c>
      <c r="O194" s="12" t="s">
        <v>803</v>
      </c>
      <c r="P194" s="8">
        <v>2014.0</v>
      </c>
      <c r="Q194" s="18">
        <v>0.982946493</v>
      </c>
      <c r="R194" s="17">
        <v>0.015818016</v>
      </c>
      <c r="S194" s="17">
        <v>0.0</v>
      </c>
      <c r="T194" s="17">
        <v>6.79343E-4</v>
      </c>
      <c r="U194" s="17">
        <v>5.56149E-4</v>
      </c>
      <c r="V194" s="17">
        <v>0.0</v>
      </c>
      <c r="W194" s="17">
        <v>0.0</v>
      </c>
      <c r="X194" s="19">
        <v>0.0</v>
      </c>
      <c r="Y194" s="17"/>
      <c r="Z194" s="20"/>
      <c r="AA194" s="17">
        <v>0.982729546</v>
      </c>
      <c r="AB194" s="17">
        <v>0.016025523</v>
      </c>
      <c r="AC194" s="17">
        <v>0.0</v>
      </c>
      <c r="AD194" s="17">
        <v>6.70104E-4</v>
      </c>
      <c r="AE194" s="17">
        <v>5.74827E-4</v>
      </c>
      <c r="AF194" s="17">
        <v>0.0</v>
      </c>
      <c r="AG194" s="17">
        <v>0.0</v>
      </c>
      <c r="AH194" s="17">
        <v>0.0</v>
      </c>
    </row>
    <row r="195">
      <c r="A195" s="8" t="s">
        <v>1033</v>
      </c>
      <c r="B195" s="8" t="s">
        <v>1034</v>
      </c>
      <c r="C195" s="8">
        <v>1.0</v>
      </c>
      <c r="D195" s="8" t="s">
        <v>36</v>
      </c>
      <c r="E195" s="8" t="s">
        <v>37</v>
      </c>
      <c r="F195" s="9">
        <v>43497.0</v>
      </c>
      <c r="G195" s="9">
        <v>43519.0</v>
      </c>
      <c r="H195" s="8">
        <v>2019.0</v>
      </c>
      <c r="I195" s="8" t="s">
        <v>1035</v>
      </c>
      <c r="J195" s="8" t="s">
        <v>1036</v>
      </c>
      <c r="K195" s="8" t="s">
        <v>48</v>
      </c>
      <c r="L195" s="8" t="s">
        <v>1037</v>
      </c>
      <c r="M195" s="10" t="s">
        <v>1038</v>
      </c>
      <c r="N195" s="11">
        <v>65097.0</v>
      </c>
      <c r="O195" s="12" t="s">
        <v>803</v>
      </c>
      <c r="P195" s="8">
        <v>2014.0</v>
      </c>
      <c r="Q195" s="18">
        <v>8.76604E-4</v>
      </c>
      <c r="R195" s="17">
        <v>0.948811913</v>
      </c>
      <c r="S195" s="17">
        <v>0.0</v>
      </c>
      <c r="T195" s="17">
        <v>0.046166087</v>
      </c>
      <c r="U195" s="17">
        <v>0.004057968</v>
      </c>
      <c r="V195" s="17">
        <v>8.74282E-5</v>
      </c>
      <c r="W195" s="17">
        <v>0.0</v>
      </c>
      <c r="X195" s="19">
        <v>0.0</v>
      </c>
      <c r="Y195" s="17"/>
      <c r="Z195" s="20"/>
      <c r="AA195" s="17">
        <v>8.66036E-4</v>
      </c>
      <c r="AB195" s="17">
        <v>0.949880544</v>
      </c>
      <c r="AC195" s="17">
        <v>0.0</v>
      </c>
      <c r="AD195" s="17">
        <v>0.044999188</v>
      </c>
      <c r="AE195" s="17">
        <v>0.004144612</v>
      </c>
      <c r="AF195" s="17">
        <v>1.0962E-4</v>
      </c>
      <c r="AG195" s="17">
        <v>0.0</v>
      </c>
      <c r="AH195" s="17">
        <v>0.0</v>
      </c>
    </row>
    <row r="196">
      <c r="A196" s="8" t="s">
        <v>1039</v>
      </c>
      <c r="B196" s="8" t="s">
        <v>1040</v>
      </c>
      <c r="C196" s="8">
        <v>1.0</v>
      </c>
      <c r="D196" s="8" t="s">
        <v>36</v>
      </c>
      <c r="E196" s="8" t="s">
        <v>37</v>
      </c>
      <c r="F196" s="9">
        <v>43606.0</v>
      </c>
      <c r="G196" s="9">
        <v>43607.0</v>
      </c>
      <c r="H196" s="8">
        <v>2019.0</v>
      </c>
      <c r="I196" s="8" t="s">
        <v>1041</v>
      </c>
      <c r="J196" s="8" t="s">
        <v>54</v>
      </c>
      <c r="K196" s="8" t="s">
        <v>48</v>
      </c>
      <c r="L196" s="8" t="s">
        <v>1042</v>
      </c>
      <c r="M196" s="10" t="s">
        <v>1043</v>
      </c>
      <c r="N196" s="11">
        <v>73462.0</v>
      </c>
      <c r="O196" s="12" t="s">
        <v>803</v>
      </c>
      <c r="P196" s="8">
        <v>2014.0</v>
      </c>
      <c r="Q196" s="18">
        <v>1.87903E-4</v>
      </c>
      <c r="R196" s="17">
        <v>0.775463983</v>
      </c>
      <c r="S196" s="17">
        <v>1.27909E-4</v>
      </c>
      <c r="T196" s="17">
        <v>0.0</v>
      </c>
      <c r="U196" s="17">
        <v>0.170582588</v>
      </c>
      <c r="V196" s="17">
        <v>0.053637617</v>
      </c>
      <c r="W196" s="17">
        <v>0.0</v>
      </c>
      <c r="X196" s="19">
        <v>0.0</v>
      </c>
      <c r="Y196" s="17"/>
      <c r="Z196" s="20"/>
      <c r="AA196" s="17">
        <v>1.8224E-4</v>
      </c>
      <c r="AB196" s="17">
        <v>0.762128804</v>
      </c>
      <c r="AC196" s="17">
        <v>6.31104E-4</v>
      </c>
      <c r="AD196" s="17">
        <v>0.0</v>
      </c>
      <c r="AE196" s="17">
        <v>0.171036119</v>
      </c>
      <c r="AF196" s="17">
        <v>0.066021733</v>
      </c>
      <c r="AG196" s="17">
        <v>0.0</v>
      </c>
      <c r="AH196" s="17">
        <v>0.0</v>
      </c>
    </row>
    <row r="197">
      <c r="A197" s="8" t="s">
        <v>1044</v>
      </c>
      <c r="B197" s="8" t="s">
        <v>1045</v>
      </c>
      <c r="C197" s="8">
        <v>1.0</v>
      </c>
      <c r="D197" s="8" t="s">
        <v>36</v>
      </c>
      <c r="E197" s="8" t="s">
        <v>37</v>
      </c>
      <c r="F197" s="44">
        <v>43634.0</v>
      </c>
      <c r="G197" s="44">
        <v>43635.0</v>
      </c>
      <c r="H197" s="8">
        <v>2019.0</v>
      </c>
      <c r="I197" s="8" t="s">
        <v>1046</v>
      </c>
      <c r="J197" s="8" t="s">
        <v>54</v>
      </c>
      <c r="K197" s="8" t="s">
        <v>48</v>
      </c>
      <c r="L197" s="8" t="s">
        <v>1047</v>
      </c>
      <c r="M197" s="10" t="s">
        <v>1048</v>
      </c>
      <c r="N197" s="11">
        <v>58918.0</v>
      </c>
      <c r="O197" s="12" t="s">
        <v>803</v>
      </c>
      <c r="P197" s="8">
        <v>2014.0</v>
      </c>
      <c r="Q197" s="18">
        <v>0.372139447</v>
      </c>
      <c r="R197" s="17">
        <v>0.08053964</v>
      </c>
      <c r="S197" s="17">
        <v>0.0</v>
      </c>
      <c r="T197" s="17">
        <v>0.381546487</v>
      </c>
      <c r="U197" s="17">
        <v>0.165774425</v>
      </c>
      <c r="V197" s="17">
        <v>0.0</v>
      </c>
      <c r="W197" s="17">
        <v>0.0</v>
      </c>
      <c r="X197" s="19">
        <v>0.0</v>
      </c>
      <c r="Y197" s="17"/>
      <c r="Z197" s="20"/>
      <c r="AA197" s="17">
        <v>0.371554603</v>
      </c>
      <c r="AB197" s="17">
        <v>0.081485944</v>
      </c>
      <c r="AC197" s="17">
        <v>0.0</v>
      </c>
      <c r="AD197" s="17">
        <v>0.375848844</v>
      </c>
      <c r="AE197" s="17">
        <v>0.17111061</v>
      </c>
      <c r="AF197" s="17">
        <v>0.0</v>
      </c>
      <c r="AG197" s="17">
        <v>0.0</v>
      </c>
      <c r="AH197" s="17">
        <v>0.0</v>
      </c>
    </row>
    <row r="198">
      <c r="A198" s="8" t="s">
        <v>1049</v>
      </c>
      <c r="B198" s="8" t="s">
        <v>1050</v>
      </c>
      <c r="C198" s="8">
        <v>1.0</v>
      </c>
      <c r="D198" s="8" t="s">
        <v>36</v>
      </c>
      <c r="E198" s="8" t="s">
        <v>37</v>
      </c>
      <c r="F198" s="9">
        <v>43746.0</v>
      </c>
      <c r="G198" s="9">
        <v>43749.0</v>
      </c>
      <c r="H198" s="8">
        <v>2019.0</v>
      </c>
      <c r="I198" s="8" t="s">
        <v>1051</v>
      </c>
      <c r="J198" s="8" t="s">
        <v>794</v>
      </c>
      <c r="K198" s="8" t="s">
        <v>48</v>
      </c>
      <c r="L198" s="8" t="s">
        <v>1052</v>
      </c>
      <c r="M198" s="10" t="s">
        <v>1053</v>
      </c>
      <c r="N198" s="11">
        <v>96280.0</v>
      </c>
      <c r="O198" s="12" t="s">
        <v>803</v>
      </c>
      <c r="P198" s="8">
        <v>2014.0</v>
      </c>
      <c r="Q198" s="18">
        <v>0.005554062</v>
      </c>
      <c r="R198" s="17">
        <v>0.977355389</v>
      </c>
      <c r="S198" s="17">
        <v>0.0</v>
      </c>
      <c r="T198" s="17">
        <v>9.1767E-4</v>
      </c>
      <c r="U198" s="17">
        <v>0.016172879</v>
      </c>
      <c r="V198" s="17">
        <v>0.0</v>
      </c>
      <c r="W198" s="17">
        <v>0.0</v>
      </c>
      <c r="X198" s="19">
        <v>0.0</v>
      </c>
      <c r="Y198" s="17"/>
      <c r="Z198" s="20"/>
      <c r="AA198" s="17">
        <v>0.005479678</v>
      </c>
      <c r="AB198" s="17">
        <v>0.977131231</v>
      </c>
      <c r="AC198" s="17">
        <v>0.0</v>
      </c>
      <c r="AD198" s="17">
        <v>8.93263E-4</v>
      </c>
      <c r="AE198" s="17">
        <v>0.016495828</v>
      </c>
      <c r="AF198" s="17">
        <v>0.0</v>
      </c>
      <c r="AG198" s="17">
        <v>0.0</v>
      </c>
      <c r="AH198" s="17">
        <v>0.0</v>
      </c>
    </row>
    <row r="199">
      <c r="A199" s="8" t="s">
        <v>1054</v>
      </c>
      <c r="B199" s="8" t="s">
        <v>1055</v>
      </c>
      <c r="C199" s="8">
        <v>1.0</v>
      </c>
      <c r="D199" s="8" t="s">
        <v>36</v>
      </c>
      <c r="E199" s="8" t="s">
        <v>37</v>
      </c>
      <c r="F199" s="9">
        <v>43874.0</v>
      </c>
      <c r="G199" s="9">
        <v>43876.0</v>
      </c>
      <c r="H199" s="8">
        <v>2020.0</v>
      </c>
      <c r="I199" s="8" t="s">
        <v>1056</v>
      </c>
      <c r="J199" s="8" t="s">
        <v>794</v>
      </c>
      <c r="K199" s="8" t="s">
        <v>48</v>
      </c>
      <c r="L199" s="8" t="s">
        <v>1057</v>
      </c>
      <c r="M199" s="10" t="s">
        <v>1058</v>
      </c>
      <c r="N199" s="11">
        <v>119156.0</v>
      </c>
      <c r="O199" s="12" t="s">
        <v>803</v>
      </c>
      <c r="P199" s="8">
        <v>2014.0</v>
      </c>
      <c r="Q199" s="18">
        <v>3.0E-4</v>
      </c>
      <c r="R199" s="17">
        <v>0.9988</v>
      </c>
      <c r="S199" s="17">
        <v>0.0</v>
      </c>
      <c r="T199" s="17">
        <v>1.0E-4</v>
      </c>
      <c r="U199" s="17">
        <v>7.0E-4</v>
      </c>
      <c r="V199" s="17">
        <v>1.0E-4</v>
      </c>
      <c r="W199" s="17">
        <v>0.0</v>
      </c>
      <c r="X199" s="19">
        <v>0.0</v>
      </c>
      <c r="Y199" s="17"/>
      <c r="Z199" s="20"/>
      <c r="AA199" s="17">
        <v>3.0E-4</v>
      </c>
      <c r="AB199" s="17">
        <v>0.9987</v>
      </c>
      <c r="AC199" s="17">
        <v>0.0</v>
      </c>
      <c r="AD199" s="17">
        <v>1.0E-4</v>
      </c>
      <c r="AE199" s="17">
        <v>7.0E-4</v>
      </c>
      <c r="AF199" s="17">
        <v>1.0E-4</v>
      </c>
      <c r="AG199" s="17">
        <v>0.0</v>
      </c>
      <c r="AH199" s="17">
        <v>0.0</v>
      </c>
    </row>
    <row r="200">
      <c r="A200" s="8" t="s">
        <v>1059</v>
      </c>
      <c r="B200" s="8" t="s">
        <v>1060</v>
      </c>
      <c r="C200" s="8">
        <v>1.0</v>
      </c>
      <c r="D200" s="8" t="s">
        <v>36</v>
      </c>
      <c r="E200" s="8" t="s">
        <v>37</v>
      </c>
      <c r="F200" s="9">
        <v>43948.0</v>
      </c>
      <c r="G200" s="9">
        <v>43955.0</v>
      </c>
      <c r="H200" s="8">
        <v>2020.0</v>
      </c>
      <c r="I200" s="8" t="s">
        <v>1061</v>
      </c>
      <c r="J200" s="8" t="s">
        <v>383</v>
      </c>
      <c r="K200" s="8" t="s">
        <v>500</v>
      </c>
      <c r="L200" s="8" t="s">
        <v>1062</v>
      </c>
      <c r="M200" s="10" t="s">
        <v>1063</v>
      </c>
      <c r="N200" s="11">
        <v>24304.0</v>
      </c>
      <c r="O200" s="12" t="s">
        <v>803</v>
      </c>
      <c r="P200" s="8">
        <v>2014.0</v>
      </c>
      <c r="Q200" s="18">
        <v>1.16475E-4</v>
      </c>
      <c r="R200" s="17">
        <v>0.999474115</v>
      </c>
      <c r="S200" s="17">
        <v>0.0</v>
      </c>
      <c r="T200" s="17">
        <v>0.0</v>
      </c>
      <c r="U200" s="17">
        <v>3.11812E-4</v>
      </c>
      <c r="V200" s="17">
        <v>9.75977E-5</v>
      </c>
      <c r="W200" s="17">
        <v>0.0</v>
      </c>
      <c r="X200" s="19">
        <v>0.0</v>
      </c>
      <c r="Y200" s="17"/>
      <c r="Z200" s="20"/>
      <c r="AA200" s="17">
        <v>1.14938E-4</v>
      </c>
      <c r="AB200" s="17">
        <v>0.99944473</v>
      </c>
      <c r="AC200" s="17">
        <v>0.0</v>
      </c>
      <c r="AD200" s="17">
        <v>0.0</v>
      </c>
      <c r="AE200" s="17">
        <v>3.18102E-4</v>
      </c>
      <c r="AF200" s="17">
        <v>1.2223E-4</v>
      </c>
      <c r="AG200" s="17">
        <v>0.0</v>
      </c>
      <c r="AH200" s="17">
        <v>0.0</v>
      </c>
    </row>
    <row r="201">
      <c r="A201" s="8" t="s">
        <v>1064</v>
      </c>
      <c r="B201" s="8" t="s">
        <v>1065</v>
      </c>
      <c r="C201" s="8">
        <v>1.0</v>
      </c>
      <c r="D201" s="8" t="s">
        <v>36</v>
      </c>
      <c r="E201" s="8" t="s">
        <v>37</v>
      </c>
      <c r="F201" s="9">
        <v>43958.0</v>
      </c>
      <c r="G201" s="9">
        <v>43986.0</v>
      </c>
      <c r="H201" s="8">
        <v>2020.0</v>
      </c>
      <c r="I201" s="8" t="s">
        <v>1066</v>
      </c>
      <c r="J201" s="8" t="s">
        <v>383</v>
      </c>
      <c r="K201" s="8" t="s">
        <v>500</v>
      </c>
      <c r="L201" s="8" t="s">
        <v>1067</v>
      </c>
      <c r="M201" s="10" t="s">
        <v>1068</v>
      </c>
      <c r="N201" s="11">
        <v>87667.0</v>
      </c>
      <c r="O201" s="12" t="s">
        <v>803</v>
      </c>
      <c r="P201" s="8">
        <v>2014.0</v>
      </c>
      <c r="Q201" s="18">
        <v>0.449349795</v>
      </c>
      <c r="R201" s="17">
        <v>0.437425217</v>
      </c>
      <c r="S201" s="17">
        <v>0.0</v>
      </c>
      <c r="T201" s="17">
        <v>0.102566865</v>
      </c>
      <c r="U201" s="17">
        <v>0.004705919</v>
      </c>
      <c r="V201" s="17">
        <v>0.005952204</v>
      </c>
      <c r="W201" s="17">
        <v>0.0</v>
      </c>
      <c r="X201" s="19">
        <v>0.0</v>
      </c>
      <c r="Y201" s="17"/>
      <c r="Z201" s="20"/>
      <c r="AA201" s="17">
        <v>0.446570067</v>
      </c>
      <c r="AB201" s="17">
        <v>0.440519315</v>
      </c>
      <c r="AC201" s="17">
        <v>0.0</v>
      </c>
      <c r="AD201" s="17">
        <v>0.100568266</v>
      </c>
      <c r="AE201" s="17">
        <v>0.00483495</v>
      </c>
      <c r="AF201" s="17">
        <v>0.007507401</v>
      </c>
      <c r="AG201" s="17">
        <v>0.0</v>
      </c>
      <c r="AH201" s="17">
        <v>0.0</v>
      </c>
    </row>
    <row r="202">
      <c r="A202" s="8" t="s">
        <v>1069</v>
      </c>
      <c r="B202" s="8" t="s">
        <v>1070</v>
      </c>
      <c r="C202" s="8">
        <v>1.0</v>
      </c>
      <c r="D202" s="8" t="s">
        <v>36</v>
      </c>
      <c r="E202" s="8" t="s">
        <v>37</v>
      </c>
      <c r="F202" s="9">
        <v>44113.0</v>
      </c>
      <c r="G202" s="9">
        <v>44134.0</v>
      </c>
      <c r="H202" s="8">
        <v>2020.0</v>
      </c>
      <c r="I202" s="8" t="s">
        <v>1071</v>
      </c>
      <c r="J202" s="8" t="s">
        <v>1036</v>
      </c>
      <c r="K202" s="8" t="s">
        <v>48</v>
      </c>
      <c r="L202" s="8" t="s">
        <v>1072</v>
      </c>
      <c r="M202" s="10" t="s">
        <v>1073</v>
      </c>
      <c r="N202" s="11">
        <v>49687.0</v>
      </c>
      <c r="O202" s="12" t="s">
        <v>803</v>
      </c>
      <c r="P202" s="8">
        <v>2014.0</v>
      </c>
      <c r="Q202" s="18">
        <v>8.0E-4</v>
      </c>
      <c r="R202" s="17">
        <v>0.9989</v>
      </c>
      <c r="S202" s="17">
        <v>0.0</v>
      </c>
      <c r="T202" s="17">
        <v>1.0E-4</v>
      </c>
      <c r="U202" s="17">
        <v>2.0E-4</v>
      </c>
      <c r="V202" s="17">
        <v>0.0</v>
      </c>
      <c r="W202" s="17">
        <v>0.0</v>
      </c>
      <c r="X202" s="19">
        <v>0.0</v>
      </c>
      <c r="Y202" s="17"/>
      <c r="Z202" s="20"/>
      <c r="AA202" s="17">
        <v>8.0E-4</v>
      </c>
      <c r="AB202" s="17">
        <v>0.9988</v>
      </c>
      <c r="AC202" s="17">
        <v>1.0E-4</v>
      </c>
      <c r="AD202" s="17">
        <v>1.0E-4</v>
      </c>
      <c r="AE202" s="17">
        <v>2.0E-4</v>
      </c>
      <c r="AF202" s="17">
        <v>0.0</v>
      </c>
      <c r="AG202" s="17">
        <v>0.0</v>
      </c>
      <c r="AH202" s="17">
        <v>0.0</v>
      </c>
    </row>
    <row r="203">
      <c r="A203" s="8" t="s">
        <v>1074</v>
      </c>
      <c r="B203" s="8" t="s">
        <v>1075</v>
      </c>
      <c r="C203" s="8">
        <v>1.0</v>
      </c>
      <c r="D203" s="8" t="s">
        <v>36</v>
      </c>
      <c r="E203" s="8" t="s">
        <v>37</v>
      </c>
      <c r="F203" s="9">
        <v>44035.0</v>
      </c>
      <c r="G203" s="9">
        <v>44078.0</v>
      </c>
      <c r="H203" s="8">
        <v>2020.0</v>
      </c>
      <c r="I203" s="8" t="s">
        <v>1076</v>
      </c>
      <c r="J203" s="8" t="s">
        <v>383</v>
      </c>
      <c r="K203" s="8" t="s">
        <v>500</v>
      </c>
      <c r="L203" s="8" t="s">
        <v>1077</v>
      </c>
      <c r="M203" s="10" t="s">
        <v>1078</v>
      </c>
      <c r="N203" s="11">
        <v>78211.0</v>
      </c>
      <c r="O203" s="12" t="s">
        <v>803</v>
      </c>
      <c r="P203" s="8">
        <v>2014.0</v>
      </c>
      <c r="Q203" s="18">
        <v>0.406109347</v>
      </c>
      <c r="R203" s="17">
        <v>0.447636321</v>
      </c>
      <c r="S203" s="17">
        <v>0.0</v>
      </c>
      <c r="T203" s="17">
        <v>0.12308207</v>
      </c>
      <c r="U203" s="17">
        <v>0.018611771</v>
      </c>
      <c r="V203" s="17">
        <v>0.00456049</v>
      </c>
      <c r="W203" s="17">
        <v>0.0</v>
      </c>
      <c r="X203" s="19">
        <v>0.0</v>
      </c>
      <c r="Y203" s="17"/>
      <c r="Z203" s="20"/>
      <c r="AA203" s="17">
        <v>0.403614216</v>
      </c>
      <c r="AB203" s="17">
        <v>0.450821754</v>
      </c>
      <c r="AC203" s="17">
        <v>0.0</v>
      </c>
      <c r="AD203" s="17">
        <v>0.120688832</v>
      </c>
      <c r="AE203" s="17">
        <v>0.019122895</v>
      </c>
      <c r="AF203" s="17">
        <v>0.005752303</v>
      </c>
      <c r="AG203" s="17">
        <v>0.0</v>
      </c>
      <c r="AH203" s="17">
        <v>0.0</v>
      </c>
    </row>
    <row r="204">
      <c r="A204" s="8" t="s">
        <v>1079</v>
      </c>
      <c r="B204" s="8" t="s">
        <v>1080</v>
      </c>
      <c r="C204" s="8">
        <v>1.0</v>
      </c>
      <c r="D204" s="8" t="s">
        <v>36</v>
      </c>
      <c r="E204" s="8" t="s">
        <v>37</v>
      </c>
      <c r="F204" s="9">
        <v>44114.0</v>
      </c>
      <c r="G204" s="9">
        <v>44116.0</v>
      </c>
      <c r="H204" s="8">
        <v>2020.0</v>
      </c>
      <c r="I204" s="8" t="s">
        <v>1081</v>
      </c>
      <c r="J204" s="8" t="s">
        <v>794</v>
      </c>
      <c r="K204" s="8" t="s">
        <v>48</v>
      </c>
      <c r="L204" s="8" t="s">
        <v>1082</v>
      </c>
      <c r="M204" s="10" t="s">
        <v>1083</v>
      </c>
      <c r="N204" s="11">
        <v>127338.0</v>
      </c>
      <c r="O204" s="12" t="s">
        <v>803</v>
      </c>
      <c r="P204" s="8">
        <v>2014.0</v>
      </c>
      <c r="Q204" s="18">
        <v>1.0E-4</v>
      </c>
      <c r="R204" s="17">
        <v>0.9995</v>
      </c>
      <c r="S204" s="17">
        <v>0.0</v>
      </c>
      <c r="T204" s="17">
        <v>1.0E-4</v>
      </c>
      <c r="U204" s="17">
        <v>2.0E-4</v>
      </c>
      <c r="V204" s="17">
        <v>2.0E-4</v>
      </c>
      <c r="W204" s="17">
        <v>0.0</v>
      </c>
      <c r="X204" s="19">
        <v>0.0</v>
      </c>
      <c r="Y204" s="17"/>
      <c r="Z204" s="20"/>
      <c r="AA204" s="17">
        <v>1.0E-4</v>
      </c>
      <c r="AB204" s="17">
        <v>0.9994</v>
      </c>
      <c r="AC204" s="17">
        <v>0.0</v>
      </c>
      <c r="AD204" s="17">
        <v>1.0E-4</v>
      </c>
      <c r="AE204" s="17">
        <v>2.0E-4</v>
      </c>
      <c r="AF204" s="17">
        <v>2.0E-4</v>
      </c>
      <c r="AG204" s="17">
        <v>0.0</v>
      </c>
      <c r="AH204" s="17">
        <v>0.0</v>
      </c>
    </row>
    <row r="205">
      <c r="A205" s="8" t="s">
        <v>1084</v>
      </c>
      <c r="B205" s="8" t="s">
        <v>1085</v>
      </c>
      <c r="C205" s="8">
        <v>1.0</v>
      </c>
      <c r="D205" s="8" t="s">
        <v>36</v>
      </c>
      <c r="E205" s="8" t="s">
        <v>37</v>
      </c>
      <c r="F205" s="9">
        <v>44153.0</v>
      </c>
      <c r="G205" s="9">
        <v>44181.0</v>
      </c>
      <c r="H205" s="8">
        <v>2020.0</v>
      </c>
      <c r="I205" s="8" t="s">
        <v>1086</v>
      </c>
      <c r="J205" s="8" t="s">
        <v>383</v>
      </c>
      <c r="K205" s="8" t="s">
        <v>48</v>
      </c>
      <c r="L205" s="8" t="s">
        <v>1087</v>
      </c>
      <c r="M205" s="10" t="s">
        <v>1088</v>
      </c>
      <c r="N205" s="11">
        <v>84267.0</v>
      </c>
      <c r="O205" s="12" t="s">
        <v>803</v>
      </c>
      <c r="P205" s="8">
        <v>2014.0</v>
      </c>
      <c r="Q205" s="18">
        <v>0.098619077</v>
      </c>
      <c r="R205" s="17">
        <v>0.404265404</v>
      </c>
      <c r="S205" s="17">
        <v>0.0</v>
      </c>
      <c r="T205" s="17">
        <v>0.050468499</v>
      </c>
      <c r="U205" s="17">
        <v>0.446303445</v>
      </c>
      <c r="V205" s="17">
        <v>3.43575E-4</v>
      </c>
      <c r="W205" s="17">
        <v>0.0</v>
      </c>
      <c r="X205" s="19">
        <v>0.0</v>
      </c>
      <c r="Y205" s="17"/>
      <c r="Z205" s="20"/>
      <c r="AA205" s="17">
        <v>0.096694643</v>
      </c>
      <c r="AB205" s="17">
        <v>0.401665132</v>
      </c>
      <c r="AC205" s="17">
        <v>0.0</v>
      </c>
      <c r="AD205" s="17">
        <v>0.048821451</v>
      </c>
      <c r="AE205" s="17">
        <v>0.45239124</v>
      </c>
      <c r="AF205" s="17">
        <v>4.27534E-4</v>
      </c>
      <c r="AG205" s="17">
        <v>0.0</v>
      </c>
      <c r="AH205" s="17">
        <v>0.0</v>
      </c>
    </row>
    <row r="206">
      <c r="A206" s="8" t="s">
        <v>1089</v>
      </c>
      <c r="B206" s="8" t="s">
        <v>1090</v>
      </c>
      <c r="C206" s="8">
        <v>1.0</v>
      </c>
      <c r="D206" s="8" t="s">
        <v>36</v>
      </c>
      <c r="E206" s="8" t="s">
        <v>37</v>
      </c>
      <c r="F206" s="9">
        <v>44246.0</v>
      </c>
      <c r="G206" s="9">
        <v>44297.0</v>
      </c>
      <c r="H206" s="8">
        <v>2021.0</v>
      </c>
      <c r="I206" s="8" t="s">
        <v>1091</v>
      </c>
      <c r="J206" s="8" t="s">
        <v>39</v>
      </c>
      <c r="K206" s="8" t="s">
        <v>48</v>
      </c>
      <c r="L206" s="8" t="s">
        <v>1092</v>
      </c>
      <c r="M206" s="10" t="s">
        <v>1093</v>
      </c>
      <c r="N206" s="11">
        <v>56964.0</v>
      </c>
      <c r="O206" s="12" t="s">
        <v>803</v>
      </c>
      <c r="P206" s="8">
        <v>2014.0</v>
      </c>
      <c r="Q206" s="18">
        <v>0.072974587</v>
      </c>
      <c r="R206" s="17">
        <v>0.684429978</v>
      </c>
      <c r="S206" s="17">
        <v>0.0</v>
      </c>
      <c r="T206" s="17">
        <v>0.213556629</v>
      </c>
      <c r="U206" s="17">
        <v>0.020953715</v>
      </c>
      <c r="V206" s="17">
        <v>0.008085091</v>
      </c>
      <c r="W206" s="17">
        <v>0.0</v>
      </c>
      <c r="X206" s="19">
        <v>0.0</v>
      </c>
      <c r="Y206" s="17"/>
      <c r="Z206" s="20"/>
      <c r="AA206" s="17">
        <v>0.07231233</v>
      </c>
      <c r="AB206" s="17">
        <v>0.687267503</v>
      </c>
      <c r="AC206" s="17">
        <v>0.0</v>
      </c>
      <c r="AD206" s="17">
        <v>0.208786582</v>
      </c>
      <c r="AE206" s="17">
        <v>0.021465658</v>
      </c>
      <c r="AF206" s="17">
        <v>0.010167926</v>
      </c>
      <c r="AG206" s="17">
        <v>0.0</v>
      </c>
      <c r="AH206" s="17">
        <v>0.0</v>
      </c>
    </row>
    <row r="207">
      <c r="A207" s="8" t="s">
        <v>1094</v>
      </c>
      <c r="B207" s="8" t="s">
        <v>1095</v>
      </c>
      <c r="C207" s="8">
        <v>1.0</v>
      </c>
      <c r="D207" s="8" t="s">
        <v>36</v>
      </c>
      <c r="E207" s="8" t="s">
        <v>37</v>
      </c>
      <c r="F207" s="9">
        <v>44312.0</v>
      </c>
      <c r="G207" s="9">
        <v>44386.0</v>
      </c>
      <c r="H207" s="8">
        <v>2021.0</v>
      </c>
      <c r="I207" s="8" t="s">
        <v>1096</v>
      </c>
      <c r="J207" s="8" t="s">
        <v>39</v>
      </c>
      <c r="K207" s="8" t="s">
        <v>48</v>
      </c>
      <c r="L207" s="8" t="s">
        <v>1097</v>
      </c>
      <c r="M207" s="10" t="s">
        <v>1098</v>
      </c>
      <c r="N207" s="11">
        <v>70708.0</v>
      </c>
      <c r="O207" s="12" t="s">
        <v>803</v>
      </c>
      <c r="P207" s="8">
        <v>2014.0</v>
      </c>
      <c r="Q207" s="18">
        <v>0.057917778</v>
      </c>
      <c r="R207" s="17">
        <v>0.482948528</v>
      </c>
      <c r="S207" s="17">
        <v>0.0</v>
      </c>
      <c r="T207" s="17">
        <v>0.453858035</v>
      </c>
      <c r="U207" s="17">
        <v>0.001780127</v>
      </c>
      <c r="V207" s="17">
        <v>0.003495532</v>
      </c>
      <c r="W207" s="17">
        <v>0.0</v>
      </c>
      <c r="X207" s="19">
        <v>0.0</v>
      </c>
      <c r="Y207" s="17"/>
      <c r="Z207" s="20"/>
      <c r="AA207" s="17">
        <v>0.057838496</v>
      </c>
      <c r="AB207" s="17">
        <v>0.488722154</v>
      </c>
      <c r="AC207" s="17">
        <v>0.0</v>
      </c>
      <c r="AD207" s="17">
        <v>0.44717133</v>
      </c>
      <c r="AE207" s="17">
        <v>0.001837802</v>
      </c>
      <c r="AF207" s="17">
        <v>0.004430218</v>
      </c>
      <c r="AG207" s="17">
        <v>0.0</v>
      </c>
      <c r="AH207" s="17">
        <v>0.0</v>
      </c>
    </row>
    <row r="208">
      <c r="A208" s="8" t="s">
        <v>1099</v>
      </c>
      <c r="B208" s="8" t="s">
        <v>1100</v>
      </c>
      <c r="C208" s="8">
        <v>1.0</v>
      </c>
      <c r="D208" s="8" t="s">
        <v>36</v>
      </c>
      <c r="E208" s="8" t="s">
        <v>37</v>
      </c>
      <c r="F208" s="9">
        <v>44418.0</v>
      </c>
      <c r="G208" s="9">
        <v>44531.0</v>
      </c>
      <c r="H208" s="8">
        <v>2021.0</v>
      </c>
      <c r="I208" s="8" t="s">
        <v>1101</v>
      </c>
      <c r="J208" s="8" t="s">
        <v>39</v>
      </c>
      <c r="K208" s="8" t="s">
        <v>48</v>
      </c>
      <c r="L208" s="8" t="s">
        <v>1102</v>
      </c>
      <c r="M208" s="10" t="s">
        <v>1103</v>
      </c>
      <c r="N208" s="11">
        <v>60731.0</v>
      </c>
      <c r="O208" s="12" t="s">
        <v>803</v>
      </c>
      <c r="P208" s="8">
        <v>2014.0</v>
      </c>
      <c r="Q208" s="18">
        <v>0.010492481</v>
      </c>
      <c r="R208" s="17">
        <v>0.726849685</v>
      </c>
      <c r="S208" s="17">
        <v>0.0</v>
      </c>
      <c r="T208" s="17">
        <v>0.251653597</v>
      </c>
      <c r="U208" s="17">
        <v>6.69417E-5</v>
      </c>
      <c r="V208" s="17">
        <v>0.010937296</v>
      </c>
      <c r="W208" s="17">
        <v>0.0</v>
      </c>
      <c r="X208" s="19">
        <v>0.0</v>
      </c>
      <c r="Y208" s="17"/>
      <c r="Z208" s="20"/>
      <c r="AA208" s="17">
        <v>0.010396049</v>
      </c>
      <c r="AB208" s="17">
        <v>0.729778114</v>
      </c>
      <c r="AC208" s="17">
        <v>0.0</v>
      </c>
      <c r="AD208" s="17">
        <v>0.246003969</v>
      </c>
      <c r="AE208" s="17">
        <v>6.85692E-5</v>
      </c>
      <c r="AF208" s="17">
        <v>0.013753299</v>
      </c>
      <c r="AG208" s="17">
        <v>0.0</v>
      </c>
      <c r="AH208" s="17">
        <v>0.0</v>
      </c>
    </row>
    <row r="209">
      <c r="A209" s="8" t="s">
        <v>1104</v>
      </c>
      <c r="B209" s="8" t="s">
        <v>1105</v>
      </c>
      <c r="C209" s="8">
        <v>1.0</v>
      </c>
      <c r="D209" s="8" t="s">
        <v>36</v>
      </c>
      <c r="E209" s="8" t="s">
        <v>37</v>
      </c>
      <c r="F209" s="9">
        <v>44405.0</v>
      </c>
      <c r="G209" s="9">
        <v>44407.0</v>
      </c>
      <c r="H209" s="8">
        <v>2021.0</v>
      </c>
      <c r="I209" s="8" t="s">
        <v>1106</v>
      </c>
      <c r="J209" s="8" t="s">
        <v>1107</v>
      </c>
      <c r="K209" s="8" t="s">
        <v>48</v>
      </c>
      <c r="L209" s="8" t="s">
        <v>1108</v>
      </c>
      <c r="M209" s="10" t="s">
        <v>1109</v>
      </c>
      <c r="N209" s="11">
        <v>122101.0</v>
      </c>
      <c r="O209" s="12" t="s">
        <v>803</v>
      </c>
      <c r="P209" s="8">
        <v>2014.0</v>
      </c>
      <c r="Q209" s="18">
        <v>3.0E-4</v>
      </c>
      <c r="R209" s="17">
        <v>0.9989</v>
      </c>
      <c r="S209" s="17">
        <v>0.0</v>
      </c>
      <c r="T209" s="17">
        <v>5.0E-4</v>
      </c>
      <c r="U209" s="17">
        <v>3.0E-4</v>
      </c>
      <c r="V209" s="17">
        <v>0.0</v>
      </c>
      <c r="W209" s="17">
        <v>0.0</v>
      </c>
      <c r="X209" s="19">
        <v>0.0</v>
      </c>
      <c r="Y209" s="17"/>
      <c r="Z209" s="20"/>
      <c r="AA209" s="49">
        <f t="shared" ref="AA209:AH209" si="6">(AA189*($C204/$C189))/$C204</f>
        <v>0.0002</v>
      </c>
      <c r="AB209" s="49">
        <f t="shared" si="6"/>
        <v>0.9958</v>
      </c>
      <c r="AC209" s="49">
        <f t="shared" si="6"/>
        <v>0.0001</v>
      </c>
      <c r="AD209" s="49">
        <f t="shared" si="6"/>
        <v>0</v>
      </c>
      <c r="AE209" s="49">
        <f t="shared" si="6"/>
        <v>0.0029</v>
      </c>
      <c r="AF209" s="49">
        <f t="shared" si="6"/>
        <v>0.001</v>
      </c>
      <c r="AG209" s="49">
        <f t="shared" si="6"/>
        <v>0</v>
      </c>
      <c r="AH209" s="49">
        <f t="shared" si="6"/>
        <v>0</v>
      </c>
    </row>
    <row r="210">
      <c r="A210" s="8" t="s">
        <v>1110</v>
      </c>
      <c r="B210" s="8" t="s">
        <v>1111</v>
      </c>
      <c r="C210" s="8">
        <v>1.0</v>
      </c>
      <c r="D210" s="8" t="s">
        <v>36</v>
      </c>
      <c r="E210" s="8" t="s">
        <v>37</v>
      </c>
      <c r="F210" s="9">
        <v>44585.0</v>
      </c>
      <c r="G210" s="9">
        <v>44630.0</v>
      </c>
      <c r="H210" s="8">
        <v>2022.0</v>
      </c>
      <c r="I210" s="8" t="s">
        <v>1112</v>
      </c>
      <c r="J210" s="8" t="s">
        <v>39</v>
      </c>
      <c r="K210" s="8" t="s">
        <v>48</v>
      </c>
      <c r="L210" s="8" t="s">
        <v>1113</v>
      </c>
      <c r="M210" s="10" t="s">
        <v>1114</v>
      </c>
      <c r="N210" s="11">
        <v>59147.0</v>
      </c>
      <c r="O210" s="12" t="s">
        <v>803</v>
      </c>
      <c r="P210" s="8">
        <v>2014.0</v>
      </c>
      <c r="Q210" s="18">
        <v>0.006762842</v>
      </c>
      <c r="R210" s="17">
        <v>0.836674087</v>
      </c>
      <c r="S210" s="17">
        <v>0.0</v>
      </c>
      <c r="T210" s="17">
        <v>0.142528338</v>
      </c>
      <c r="U210" s="17">
        <v>0.003295415</v>
      </c>
      <c r="V210" s="17">
        <v>0.010739318</v>
      </c>
      <c r="W210" s="17">
        <v>0.0</v>
      </c>
      <c r="X210" s="19">
        <v>0.0</v>
      </c>
      <c r="Y210" s="17"/>
      <c r="Z210" s="20"/>
      <c r="AA210" s="17">
        <v>0.006680951</v>
      </c>
      <c r="AB210" s="17">
        <v>0.837570693</v>
      </c>
      <c r="AC210" s="17">
        <v>0.0</v>
      </c>
      <c r="AD210" s="17">
        <v>0.138918191</v>
      </c>
      <c r="AE210" s="17">
        <v>0.003365594</v>
      </c>
      <c r="AF210" s="17">
        <v>0.013464572</v>
      </c>
      <c r="AG210" s="17">
        <v>0.0</v>
      </c>
      <c r="AH210" s="17">
        <v>0.0</v>
      </c>
    </row>
    <row r="211">
      <c r="A211" s="8" t="s">
        <v>1115</v>
      </c>
      <c r="B211" s="8" t="s">
        <v>1116</v>
      </c>
      <c r="C211" s="8">
        <v>1.0</v>
      </c>
      <c r="D211" s="8" t="s">
        <v>36</v>
      </c>
      <c r="E211" s="8" t="s">
        <v>37</v>
      </c>
      <c r="F211" s="9">
        <v>44643.0</v>
      </c>
      <c r="G211" s="9">
        <v>44701.0</v>
      </c>
      <c r="H211" s="8">
        <v>2022.0</v>
      </c>
      <c r="I211" s="8" t="s">
        <v>1117</v>
      </c>
      <c r="J211" s="8" t="s">
        <v>39</v>
      </c>
      <c r="K211" s="8" t="s">
        <v>48</v>
      </c>
      <c r="L211" s="8" t="s">
        <v>1118</v>
      </c>
      <c r="M211" s="10" t="s">
        <v>1119</v>
      </c>
      <c r="N211" s="11">
        <v>102599.0</v>
      </c>
      <c r="O211" s="12" t="s">
        <v>803</v>
      </c>
      <c r="P211" s="8">
        <v>2014.0</v>
      </c>
      <c r="Q211" s="18">
        <v>2.23028E-4</v>
      </c>
      <c r="R211" s="17">
        <v>0.211320435</v>
      </c>
      <c r="S211" s="17">
        <v>0.0</v>
      </c>
      <c r="T211" s="17">
        <v>0.093714149</v>
      </c>
      <c r="U211" s="17">
        <v>0.691147905</v>
      </c>
      <c r="V211" s="17">
        <v>0.003594483</v>
      </c>
      <c r="W211" s="17">
        <v>0.0</v>
      </c>
      <c r="X211" s="19">
        <v>0.0</v>
      </c>
      <c r="Y211" s="17"/>
      <c r="Z211" s="20"/>
      <c r="AA211" s="17">
        <v>2.17397E-4</v>
      </c>
      <c r="AB211" s="17">
        <v>0.208733017</v>
      </c>
      <c r="AC211" s="17">
        <v>0.0</v>
      </c>
      <c r="AD211" s="17">
        <v>0.090125474</v>
      </c>
      <c r="AE211" s="17">
        <v>0.696477423</v>
      </c>
      <c r="AF211" s="17">
        <v>0.00444669</v>
      </c>
      <c r="AG211" s="17">
        <v>0.0</v>
      </c>
      <c r="AH211" s="17">
        <v>0.0</v>
      </c>
    </row>
    <row r="212">
      <c r="A212" s="8" t="s">
        <v>1120</v>
      </c>
      <c r="B212" s="8" t="s">
        <v>1121</v>
      </c>
      <c r="C212" s="8">
        <v>1.0</v>
      </c>
      <c r="D212" s="8" t="s">
        <v>36</v>
      </c>
      <c r="E212" s="8" t="s">
        <v>37</v>
      </c>
      <c r="F212" s="9">
        <v>44782.0</v>
      </c>
      <c r="G212" s="9">
        <v>44886.0</v>
      </c>
      <c r="H212" s="8">
        <v>2022.0</v>
      </c>
      <c r="I212" s="8" t="s">
        <v>1122</v>
      </c>
      <c r="J212" s="8" t="s">
        <v>39</v>
      </c>
      <c r="K212" s="8" t="s">
        <v>500</v>
      </c>
      <c r="L212" s="8" t="s">
        <v>1123</v>
      </c>
      <c r="M212" s="10" t="s">
        <v>1124</v>
      </c>
      <c r="N212" s="11">
        <v>70833.0</v>
      </c>
      <c r="O212" s="12" t="s">
        <v>803</v>
      </c>
      <c r="P212" s="8">
        <v>2014.0</v>
      </c>
      <c r="Q212" s="18">
        <v>1.70113E-4</v>
      </c>
      <c r="R212" s="17">
        <v>0.803270175</v>
      </c>
      <c r="S212" s="17">
        <v>0.0</v>
      </c>
      <c r="T212" s="17">
        <v>5.73541E-4</v>
      </c>
      <c r="U212" s="17">
        <v>0.181852011</v>
      </c>
      <c r="V212" s="17">
        <v>0.01413416</v>
      </c>
      <c r="W212" s="17">
        <v>0.0</v>
      </c>
      <c r="X212" s="19">
        <v>0.0</v>
      </c>
      <c r="Y212" s="17"/>
      <c r="Z212" s="20"/>
      <c r="AA212" s="17">
        <v>1.66669E-4</v>
      </c>
      <c r="AB212" s="17">
        <v>0.797508751</v>
      </c>
      <c r="AC212" s="17">
        <v>0.0</v>
      </c>
      <c r="AD212" s="17">
        <v>5.5441E-4</v>
      </c>
      <c r="AE212" s="17">
        <v>0.184195203</v>
      </c>
      <c r="AF212" s="17">
        <v>0.017574967</v>
      </c>
      <c r="AG212" s="17">
        <v>0.0</v>
      </c>
      <c r="AH212" s="17">
        <v>0.0</v>
      </c>
    </row>
    <row r="213">
      <c r="A213" s="32" t="s">
        <v>1125</v>
      </c>
      <c r="B213" s="32" t="s">
        <v>1126</v>
      </c>
      <c r="C213" s="32">
        <v>1.0</v>
      </c>
      <c r="D213" s="32" t="s">
        <v>36</v>
      </c>
      <c r="E213" s="32" t="s">
        <v>37</v>
      </c>
      <c r="F213" s="33">
        <v>45172.0</v>
      </c>
      <c r="G213" s="33">
        <v>45174.0</v>
      </c>
      <c r="H213" s="32">
        <v>2023.0</v>
      </c>
      <c r="I213" s="32" t="s">
        <v>1127</v>
      </c>
      <c r="J213" s="32" t="s">
        <v>1107</v>
      </c>
      <c r="K213" s="32" t="s">
        <v>48</v>
      </c>
      <c r="L213" s="32" t="s">
        <v>1128</v>
      </c>
      <c r="M213" s="34" t="s">
        <v>1129</v>
      </c>
      <c r="N213" s="35">
        <v>45265.0</v>
      </c>
      <c r="O213" s="36" t="s">
        <v>803</v>
      </c>
      <c r="P213" s="32">
        <v>2014.0</v>
      </c>
      <c r="Q213" s="38">
        <v>0.12210423</v>
      </c>
      <c r="R213" s="39">
        <v>0.0</v>
      </c>
      <c r="S213" s="39">
        <v>0.0</v>
      </c>
      <c r="T213" s="39">
        <v>0.66640858</v>
      </c>
      <c r="U213" s="39">
        <v>0.211296921</v>
      </c>
      <c r="V213" s="39">
        <v>1.90412E-4</v>
      </c>
      <c r="W213" s="39">
        <v>-1.42132E-7</v>
      </c>
      <c r="X213" s="40">
        <v>0.0</v>
      </c>
      <c r="Y213" s="39"/>
      <c r="Z213" s="41"/>
      <c r="AA213" s="39">
        <v>0.122314855</v>
      </c>
      <c r="AB213" s="39">
        <v>0.0</v>
      </c>
      <c r="AC213" s="39">
        <v>0.0</v>
      </c>
      <c r="AD213" s="39">
        <v>0.658624522</v>
      </c>
      <c r="AE213" s="39">
        <v>0.218818548</v>
      </c>
      <c r="AF213" s="39">
        <v>2.42075E-4</v>
      </c>
      <c r="AG213" s="39">
        <v>0.0</v>
      </c>
      <c r="AH213" s="39">
        <v>0.0</v>
      </c>
    </row>
    <row r="214">
      <c r="A214" s="8" t="s">
        <v>1130</v>
      </c>
      <c r="B214" s="8" t="s">
        <v>1131</v>
      </c>
      <c r="C214" s="8">
        <v>1.0</v>
      </c>
      <c r="D214" s="8" t="s">
        <v>36</v>
      </c>
      <c r="E214" s="8" t="s">
        <v>37</v>
      </c>
      <c r="F214" s="9">
        <v>45782.0</v>
      </c>
      <c r="G214" s="9">
        <v>45822.0</v>
      </c>
      <c r="H214" s="8">
        <v>2025.0</v>
      </c>
      <c r="I214" s="8" t="s">
        <v>1132</v>
      </c>
      <c r="J214" s="8" t="s">
        <v>1036</v>
      </c>
      <c r="K214" s="8" t="s">
        <v>48</v>
      </c>
      <c r="L214" s="8" t="s">
        <v>1133</v>
      </c>
      <c r="M214" s="10" t="s">
        <v>1134</v>
      </c>
      <c r="N214" s="11">
        <v>36319.0</v>
      </c>
      <c r="O214" s="12" t="s">
        <v>803</v>
      </c>
      <c r="P214" s="8">
        <v>2014.0</v>
      </c>
      <c r="Q214" s="18">
        <v>0.0824</v>
      </c>
      <c r="R214" s="17">
        <v>0.909</v>
      </c>
      <c r="S214" s="17">
        <v>0.0</v>
      </c>
      <c r="T214" s="17">
        <v>0.0081</v>
      </c>
      <c r="U214" s="17">
        <v>4.0E-4</v>
      </c>
      <c r="V214" s="17">
        <v>1.0E-4</v>
      </c>
      <c r="W214" s="17">
        <v>0.0</v>
      </c>
      <c r="X214" s="19">
        <v>0.0</v>
      </c>
      <c r="Y214" s="17"/>
      <c r="Z214" s="20"/>
      <c r="AA214" s="17">
        <v>0.0814</v>
      </c>
      <c r="AB214" s="17">
        <v>0.9102</v>
      </c>
      <c r="AC214" s="17">
        <v>0.0</v>
      </c>
      <c r="AD214" s="17">
        <v>0.0079</v>
      </c>
      <c r="AE214" s="17">
        <v>4.0E-4</v>
      </c>
      <c r="AF214" s="17">
        <v>1.0E-4</v>
      </c>
      <c r="AG214" s="17">
        <v>0.0</v>
      </c>
      <c r="AH214" s="17">
        <v>0.0</v>
      </c>
    </row>
    <row r="215">
      <c r="A215" s="8" t="s">
        <v>1135</v>
      </c>
      <c r="B215" s="8" t="s">
        <v>1136</v>
      </c>
      <c r="C215" s="8">
        <v>1.0</v>
      </c>
      <c r="D215" s="8" t="s">
        <v>36</v>
      </c>
      <c r="E215" s="8" t="s">
        <v>37</v>
      </c>
      <c r="F215" s="9">
        <v>41298.0</v>
      </c>
      <c r="G215" s="9">
        <v>41306.0</v>
      </c>
      <c r="H215" s="8">
        <v>2013.0</v>
      </c>
      <c r="I215" s="8" t="s">
        <v>1137</v>
      </c>
      <c r="J215" s="8" t="s">
        <v>109</v>
      </c>
      <c r="K215" s="8" t="s">
        <v>110</v>
      </c>
      <c r="L215" s="8" t="s">
        <v>1138</v>
      </c>
      <c r="M215" s="10" t="s">
        <v>1139</v>
      </c>
      <c r="N215" s="11">
        <v>107542.0</v>
      </c>
      <c r="O215" s="12" t="s">
        <v>43</v>
      </c>
      <c r="P215" s="8">
        <v>2011.0</v>
      </c>
      <c r="Q215" s="18">
        <v>2.0E-4</v>
      </c>
      <c r="R215" s="17">
        <v>0.9932</v>
      </c>
      <c r="S215" s="17">
        <v>0.0</v>
      </c>
      <c r="T215" s="17">
        <v>0.0</v>
      </c>
      <c r="U215" s="17">
        <v>2.0E-4</v>
      </c>
      <c r="V215" s="17">
        <v>0.0064</v>
      </c>
      <c r="W215" s="17">
        <v>0.0</v>
      </c>
      <c r="X215" s="19">
        <v>0.0</v>
      </c>
      <c r="Y215" s="17"/>
      <c r="Z215" s="20"/>
      <c r="AA215" s="17">
        <v>2.0E-4</v>
      </c>
      <c r="AB215" s="17">
        <v>0.9916</v>
      </c>
      <c r="AC215" s="17">
        <v>0.0</v>
      </c>
      <c r="AD215" s="17">
        <v>0.0</v>
      </c>
      <c r="AE215" s="17">
        <v>2.0E-4</v>
      </c>
      <c r="AF215" s="17">
        <v>0.008</v>
      </c>
      <c r="AG215" s="17">
        <v>0.0</v>
      </c>
      <c r="AH215" s="17">
        <v>0.0</v>
      </c>
    </row>
    <row r="216">
      <c r="A216" s="8" t="s">
        <v>1140</v>
      </c>
      <c r="B216" s="8" t="s">
        <v>1141</v>
      </c>
      <c r="C216" s="8">
        <v>1.0</v>
      </c>
      <c r="D216" s="8" t="s">
        <v>36</v>
      </c>
      <c r="E216" s="8" t="s">
        <v>37</v>
      </c>
      <c r="F216" s="9">
        <v>41542.0</v>
      </c>
      <c r="G216" s="9">
        <v>41548.0</v>
      </c>
      <c r="H216" s="8">
        <v>2013.0</v>
      </c>
      <c r="I216" s="8" t="s">
        <v>1142</v>
      </c>
      <c r="J216" s="8" t="s">
        <v>109</v>
      </c>
      <c r="K216" s="8" t="s">
        <v>110</v>
      </c>
      <c r="L216" s="8" t="s">
        <v>1143</v>
      </c>
      <c r="M216" s="10" t="s">
        <v>1144</v>
      </c>
      <c r="N216" s="11">
        <v>122800.0</v>
      </c>
      <c r="O216" s="12" t="s">
        <v>43</v>
      </c>
      <c r="P216" s="8">
        <v>2011.0</v>
      </c>
      <c r="Q216" s="18">
        <v>1.0E-4</v>
      </c>
      <c r="R216" s="17">
        <v>0.9991</v>
      </c>
      <c r="S216" s="17">
        <v>0.0</v>
      </c>
      <c r="T216" s="17">
        <v>0.0</v>
      </c>
      <c r="U216" s="17">
        <v>6.0E-4</v>
      </c>
      <c r="V216" s="17">
        <v>1.0E-4</v>
      </c>
      <c r="W216" s="17">
        <v>0.0</v>
      </c>
      <c r="X216" s="19">
        <v>0.0</v>
      </c>
      <c r="Y216" s="17"/>
      <c r="Z216" s="20"/>
      <c r="AA216" s="17">
        <v>1.0E-4</v>
      </c>
      <c r="AB216" s="17">
        <v>0.9991</v>
      </c>
      <c r="AC216" s="17">
        <v>0.0</v>
      </c>
      <c r="AD216" s="17">
        <v>0.0</v>
      </c>
      <c r="AE216" s="17">
        <v>6.0E-4</v>
      </c>
      <c r="AF216" s="17">
        <v>2.0E-4</v>
      </c>
      <c r="AG216" s="17">
        <v>0.0</v>
      </c>
      <c r="AH216" s="17">
        <v>0.0</v>
      </c>
    </row>
    <row r="217">
      <c r="A217" s="8" t="s">
        <v>1145</v>
      </c>
      <c r="B217" s="8" t="s">
        <v>1146</v>
      </c>
      <c r="C217" s="8">
        <v>1.0</v>
      </c>
      <c r="D217" s="8" t="s">
        <v>36</v>
      </c>
      <c r="E217" s="8" t="s">
        <v>1147</v>
      </c>
      <c r="F217" s="9">
        <v>41368.0</v>
      </c>
      <c r="G217" s="9">
        <v>41372.0</v>
      </c>
      <c r="H217" s="8">
        <v>2013.0</v>
      </c>
      <c r="I217" s="8" t="s">
        <v>1148</v>
      </c>
      <c r="J217" s="8" t="s">
        <v>693</v>
      </c>
      <c r="K217" s="8" t="s">
        <v>48</v>
      </c>
      <c r="L217" s="8" t="s">
        <v>1149</v>
      </c>
      <c r="M217" s="10" t="s">
        <v>1150</v>
      </c>
      <c r="N217" s="11">
        <v>38517.0</v>
      </c>
      <c r="O217" s="12" t="s">
        <v>803</v>
      </c>
      <c r="P217" s="8">
        <v>2011.0</v>
      </c>
      <c r="Q217" s="50">
        <v>0.0</v>
      </c>
      <c r="R217" s="51">
        <v>0.9996</v>
      </c>
      <c r="S217" s="52">
        <v>0.0</v>
      </c>
      <c r="T217" s="52">
        <v>0.0</v>
      </c>
      <c r="U217" s="51">
        <v>8.0E-5</v>
      </c>
      <c r="V217" s="51">
        <v>3.2E-4</v>
      </c>
      <c r="W217" s="52">
        <v>0.0</v>
      </c>
      <c r="X217" s="53">
        <v>0.0</v>
      </c>
      <c r="Y217" s="54" t="s">
        <v>1151</v>
      </c>
      <c r="Z217" s="55" t="s">
        <v>1152</v>
      </c>
      <c r="AB217" s="14"/>
      <c r="AC217" s="14"/>
      <c r="AD217" s="14"/>
      <c r="AE217" s="14"/>
      <c r="AF217" s="14"/>
      <c r="AG217" s="14"/>
      <c r="AH217" s="14"/>
    </row>
    <row r="218">
      <c r="A218" s="8" t="s">
        <v>1153</v>
      </c>
      <c r="B218" s="8" t="s">
        <v>1154</v>
      </c>
      <c r="C218" s="8">
        <v>1.0</v>
      </c>
      <c r="D218" s="8" t="s">
        <v>36</v>
      </c>
      <c r="E218" s="8" t="s">
        <v>1147</v>
      </c>
      <c r="F218" s="9">
        <v>41472.0</v>
      </c>
      <c r="G218" s="9">
        <v>41480.0</v>
      </c>
      <c r="H218" s="8">
        <v>2013.0</v>
      </c>
      <c r="I218" s="8" t="s">
        <v>1155</v>
      </c>
      <c r="J218" s="8" t="s">
        <v>109</v>
      </c>
      <c r="K218" s="8" t="s">
        <v>81</v>
      </c>
      <c r="L218" s="8" t="s">
        <v>1156</v>
      </c>
      <c r="M218" s="10" t="s">
        <v>1157</v>
      </c>
      <c r="N218" s="11">
        <v>126977.0</v>
      </c>
      <c r="O218" s="12" t="s">
        <v>803</v>
      </c>
      <c r="P218" s="8">
        <v>2011.0</v>
      </c>
      <c r="Q218" s="50">
        <v>0.0</v>
      </c>
      <c r="R218" s="51">
        <v>1.0</v>
      </c>
      <c r="S218" s="52">
        <v>0.0</v>
      </c>
      <c r="T218" s="52">
        <v>0.0</v>
      </c>
      <c r="U218" s="52">
        <v>0.0</v>
      </c>
      <c r="V218" s="52">
        <v>0.0</v>
      </c>
      <c r="W218" s="52">
        <v>0.0</v>
      </c>
      <c r="X218" s="53">
        <v>0.0</v>
      </c>
      <c r="Y218" s="54" t="s">
        <v>1151</v>
      </c>
      <c r="Z218" s="55" t="s">
        <v>1158</v>
      </c>
      <c r="AB218" s="14"/>
      <c r="AC218" s="14"/>
      <c r="AD218" s="14"/>
      <c r="AE218" s="14"/>
      <c r="AF218" s="14"/>
      <c r="AG218" s="14"/>
      <c r="AH218" s="14"/>
    </row>
    <row r="219">
      <c r="A219" s="8" t="s">
        <v>1153</v>
      </c>
      <c r="B219" s="8" t="s">
        <v>1154</v>
      </c>
      <c r="C219" s="8">
        <v>2.0</v>
      </c>
      <c r="D219" s="8" t="s">
        <v>36</v>
      </c>
      <c r="E219" s="8" t="s">
        <v>1147</v>
      </c>
      <c r="F219" s="9">
        <v>41495.0</v>
      </c>
      <c r="G219" s="9">
        <v>41501.0</v>
      </c>
      <c r="H219" s="8">
        <v>2013.0</v>
      </c>
      <c r="I219" s="8" t="s">
        <v>1155</v>
      </c>
      <c r="J219" s="8" t="s">
        <v>109</v>
      </c>
      <c r="K219" s="8" t="s">
        <v>81</v>
      </c>
      <c r="L219" s="8" t="s">
        <v>1159</v>
      </c>
      <c r="M219" s="10" t="s">
        <v>1157</v>
      </c>
      <c r="N219" s="11">
        <v>122048.0</v>
      </c>
      <c r="O219" s="12" t="s">
        <v>803</v>
      </c>
      <c r="P219" s="8">
        <v>2011.0</v>
      </c>
      <c r="Q219" s="50">
        <v>0.0</v>
      </c>
      <c r="R219" s="51">
        <v>1.0</v>
      </c>
      <c r="S219" s="52">
        <v>0.0</v>
      </c>
      <c r="T219" s="52">
        <v>0.0</v>
      </c>
      <c r="U219" s="52">
        <v>0.0</v>
      </c>
      <c r="V219" s="52">
        <v>0.0</v>
      </c>
      <c r="W219" s="52">
        <v>0.0</v>
      </c>
      <c r="X219" s="53">
        <v>0.0</v>
      </c>
      <c r="Y219" s="54" t="s">
        <v>1151</v>
      </c>
      <c r="Z219" s="55" t="s">
        <v>1158</v>
      </c>
      <c r="AB219" s="14"/>
      <c r="AC219" s="14"/>
      <c r="AD219" s="14"/>
      <c r="AE219" s="14"/>
      <c r="AF219" s="14"/>
      <c r="AG219" s="14"/>
      <c r="AH219" s="14"/>
    </row>
    <row r="220">
      <c r="A220" s="8" t="s">
        <v>1160</v>
      </c>
      <c r="B220" s="8" t="s">
        <v>1161</v>
      </c>
      <c r="C220" s="8">
        <v>1.0</v>
      </c>
      <c r="D220" s="8" t="s">
        <v>36</v>
      </c>
      <c r="E220" s="8" t="s">
        <v>1147</v>
      </c>
      <c r="F220" s="9">
        <v>40239.0</v>
      </c>
      <c r="G220" s="9">
        <v>40255.0</v>
      </c>
      <c r="H220" s="8">
        <v>2010.0</v>
      </c>
      <c r="I220" s="8" t="s">
        <v>1162</v>
      </c>
      <c r="J220" s="8" t="s">
        <v>109</v>
      </c>
      <c r="K220" s="8" t="s">
        <v>48</v>
      </c>
      <c r="L220" s="8" t="s">
        <v>1163</v>
      </c>
      <c r="M220" s="10" t="s">
        <v>1164</v>
      </c>
      <c r="N220" s="11">
        <v>72960.0</v>
      </c>
      <c r="O220" s="12" t="s">
        <v>803</v>
      </c>
      <c r="P220" s="8">
        <v>2011.0</v>
      </c>
      <c r="Q220" s="50">
        <v>0.0</v>
      </c>
      <c r="R220" s="51">
        <v>1.0</v>
      </c>
      <c r="S220" s="52">
        <v>0.0</v>
      </c>
      <c r="T220" s="52">
        <v>0.0</v>
      </c>
      <c r="U220" s="52">
        <v>0.0</v>
      </c>
      <c r="V220" s="52">
        <v>0.0</v>
      </c>
      <c r="W220" s="52">
        <v>0.0</v>
      </c>
      <c r="X220" s="53">
        <v>0.0</v>
      </c>
      <c r="Y220" s="54" t="s">
        <v>1151</v>
      </c>
      <c r="Z220" s="55" t="s">
        <v>1158</v>
      </c>
      <c r="AB220" s="14"/>
      <c r="AC220" s="14"/>
      <c r="AD220" s="14"/>
      <c r="AE220" s="14"/>
      <c r="AF220" s="14"/>
      <c r="AG220" s="14"/>
      <c r="AH220" s="14"/>
    </row>
    <row r="221">
      <c r="A221" s="8" t="s">
        <v>1160</v>
      </c>
      <c r="B221" s="8" t="s">
        <v>1161</v>
      </c>
      <c r="C221" s="8">
        <v>1.0</v>
      </c>
      <c r="D221" s="8" t="s">
        <v>36</v>
      </c>
      <c r="E221" s="8" t="s">
        <v>1147</v>
      </c>
      <c r="F221" s="9">
        <v>40239.0</v>
      </c>
      <c r="G221" s="9">
        <v>40255.0</v>
      </c>
      <c r="H221" s="8">
        <v>2010.0</v>
      </c>
      <c r="I221" s="8" t="s">
        <v>1162</v>
      </c>
      <c r="J221" s="8" t="s">
        <v>109</v>
      </c>
      <c r="K221" s="8" t="s">
        <v>48</v>
      </c>
      <c r="L221" s="8" t="s">
        <v>1165</v>
      </c>
      <c r="M221" s="10" t="s">
        <v>1164</v>
      </c>
      <c r="N221" s="11">
        <v>105000.0</v>
      </c>
      <c r="O221" s="12" t="s">
        <v>803</v>
      </c>
      <c r="P221" s="8">
        <v>2011.0</v>
      </c>
      <c r="Q221" s="50">
        <v>0.0</v>
      </c>
      <c r="R221" s="51">
        <v>1.0</v>
      </c>
      <c r="S221" s="52">
        <v>0.0</v>
      </c>
      <c r="T221" s="52">
        <v>0.0</v>
      </c>
      <c r="U221" s="52">
        <v>0.0</v>
      </c>
      <c r="V221" s="52">
        <v>0.0</v>
      </c>
      <c r="W221" s="52">
        <v>0.0</v>
      </c>
      <c r="X221" s="53">
        <v>0.0</v>
      </c>
      <c r="Y221" s="54" t="s">
        <v>1151</v>
      </c>
      <c r="Z221" s="55" t="s">
        <v>1158</v>
      </c>
      <c r="AB221" s="14"/>
      <c r="AC221" s="14"/>
      <c r="AD221" s="14"/>
      <c r="AE221" s="14"/>
      <c r="AF221" s="14"/>
      <c r="AG221" s="14"/>
      <c r="AH221" s="14"/>
    </row>
    <row r="222">
      <c r="A222" s="8" t="s">
        <v>1160</v>
      </c>
      <c r="B222" s="8" t="s">
        <v>1161</v>
      </c>
      <c r="C222" s="8">
        <v>1.0</v>
      </c>
      <c r="D222" s="8" t="s">
        <v>36</v>
      </c>
      <c r="E222" s="8" t="s">
        <v>1147</v>
      </c>
      <c r="F222" s="9">
        <v>40239.0</v>
      </c>
      <c r="G222" s="9">
        <v>40255.0</v>
      </c>
      <c r="H222" s="8">
        <v>2010.0</v>
      </c>
      <c r="I222" s="8" t="s">
        <v>1162</v>
      </c>
      <c r="J222" s="8" t="s">
        <v>109</v>
      </c>
      <c r="K222" s="8" t="s">
        <v>48</v>
      </c>
      <c r="L222" s="8" t="s">
        <v>1166</v>
      </c>
      <c r="M222" s="10" t="s">
        <v>1164</v>
      </c>
      <c r="N222" s="11">
        <v>75000.0</v>
      </c>
      <c r="O222" s="12" t="s">
        <v>803</v>
      </c>
      <c r="P222" s="8">
        <v>2011.0</v>
      </c>
      <c r="Q222" s="50">
        <v>0.0</v>
      </c>
      <c r="R222" s="51">
        <v>1.0</v>
      </c>
      <c r="S222" s="52">
        <v>0.0</v>
      </c>
      <c r="T222" s="52">
        <v>0.0</v>
      </c>
      <c r="U222" s="52">
        <v>0.0</v>
      </c>
      <c r="V222" s="52">
        <v>0.0</v>
      </c>
      <c r="W222" s="52">
        <v>0.0</v>
      </c>
      <c r="X222" s="53">
        <v>0.0</v>
      </c>
      <c r="Y222" s="54" t="s">
        <v>1151</v>
      </c>
      <c r="Z222" s="55" t="s">
        <v>1158</v>
      </c>
      <c r="AB222" s="14"/>
      <c r="AC222" s="14"/>
      <c r="AD222" s="14"/>
      <c r="AE222" s="14"/>
      <c r="AF222" s="14"/>
      <c r="AG222" s="14"/>
      <c r="AH222" s="14"/>
    </row>
    <row r="223">
      <c r="A223" s="8" t="s">
        <v>1160</v>
      </c>
      <c r="B223" s="8" t="s">
        <v>1161</v>
      </c>
      <c r="C223" s="8">
        <v>2.0</v>
      </c>
      <c r="D223" s="8" t="s">
        <v>36</v>
      </c>
      <c r="E223" s="8" t="s">
        <v>1147</v>
      </c>
      <c r="F223" s="9">
        <v>40279.0</v>
      </c>
      <c r="G223" s="9">
        <v>40302.0</v>
      </c>
      <c r="H223" s="8">
        <v>2010.0</v>
      </c>
      <c r="I223" s="8" t="s">
        <v>1162</v>
      </c>
      <c r="J223" s="8" t="s">
        <v>109</v>
      </c>
      <c r="K223" s="8" t="s">
        <v>48</v>
      </c>
      <c r="L223" s="8" t="s">
        <v>1167</v>
      </c>
      <c r="M223" s="10" t="s">
        <v>1164</v>
      </c>
      <c r="N223" s="11">
        <v>192040.0</v>
      </c>
      <c r="O223" s="12" t="s">
        <v>803</v>
      </c>
      <c r="P223" s="8">
        <v>2011.0</v>
      </c>
      <c r="Q223" s="50">
        <v>0.0</v>
      </c>
      <c r="R223" s="51">
        <v>1.0</v>
      </c>
      <c r="S223" s="52">
        <v>0.0</v>
      </c>
      <c r="T223" s="52">
        <v>0.0</v>
      </c>
      <c r="U223" s="52">
        <v>0.0</v>
      </c>
      <c r="V223" s="52">
        <v>0.0</v>
      </c>
      <c r="W223" s="52">
        <v>0.0</v>
      </c>
      <c r="X223" s="53">
        <v>0.0</v>
      </c>
      <c r="Y223" s="54" t="s">
        <v>1151</v>
      </c>
      <c r="Z223" s="55" t="s">
        <v>1158</v>
      </c>
      <c r="AB223" s="14"/>
      <c r="AC223" s="14"/>
      <c r="AD223" s="14"/>
      <c r="AE223" s="14"/>
      <c r="AF223" s="14"/>
      <c r="AG223" s="14"/>
      <c r="AH223" s="14"/>
    </row>
    <row r="224">
      <c r="A224" s="8" t="s">
        <v>1160</v>
      </c>
      <c r="B224" s="8" t="s">
        <v>1161</v>
      </c>
      <c r="C224" s="8">
        <v>2.0</v>
      </c>
      <c r="D224" s="8" t="s">
        <v>36</v>
      </c>
      <c r="E224" s="8" t="s">
        <v>1147</v>
      </c>
      <c r="F224" s="9">
        <v>40279.0</v>
      </c>
      <c r="G224" s="9">
        <v>40302.0</v>
      </c>
      <c r="H224" s="8">
        <v>2010.0</v>
      </c>
      <c r="I224" s="8" t="s">
        <v>1162</v>
      </c>
      <c r="J224" s="8" t="s">
        <v>109</v>
      </c>
      <c r="K224" s="8" t="s">
        <v>48</v>
      </c>
      <c r="L224" s="8" t="s">
        <v>1168</v>
      </c>
      <c r="M224" s="10" t="s">
        <v>1164</v>
      </c>
      <c r="N224" s="11">
        <v>11940.0</v>
      </c>
      <c r="O224" s="12" t="s">
        <v>803</v>
      </c>
      <c r="P224" s="8">
        <v>2011.0</v>
      </c>
      <c r="Q224" s="50">
        <v>0.0</v>
      </c>
      <c r="R224" s="51">
        <v>1.0</v>
      </c>
      <c r="S224" s="52">
        <v>0.0</v>
      </c>
      <c r="T224" s="52">
        <v>0.0</v>
      </c>
      <c r="U224" s="52">
        <v>0.0</v>
      </c>
      <c r="V224" s="52">
        <v>0.0</v>
      </c>
      <c r="W224" s="52">
        <v>0.0</v>
      </c>
      <c r="X224" s="53">
        <v>0.0</v>
      </c>
      <c r="Y224" s="54" t="s">
        <v>1151</v>
      </c>
      <c r="Z224" s="55" t="s">
        <v>1158</v>
      </c>
      <c r="AB224" s="14"/>
      <c r="AC224" s="14"/>
      <c r="AD224" s="14"/>
      <c r="AE224" s="14"/>
      <c r="AF224" s="14"/>
      <c r="AG224" s="14"/>
      <c r="AH224" s="14"/>
    </row>
    <row r="225">
      <c r="A225" s="8" t="s">
        <v>1160</v>
      </c>
      <c r="B225" s="8" t="s">
        <v>1161</v>
      </c>
      <c r="C225" s="8">
        <v>2.0</v>
      </c>
      <c r="D225" s="8" t="s">
        <v>36</v>
      </c>
      <c r="E225" s="8" t="s">
        <v>1147</v>
      </c>
      <c r="F225" s="9">
        <v>40279.0</v>
      </c>
      <c r="G225" s="9">
        <v>40302.0</v>
      </c>
      <c r="H225" s="8">
        <v>2010.0</v>
      </c>
      <c r="I225" s="8" t="s">
        <v>1162</v>
      </c>
      <c r="J225" s="8" t="s">
        <v>109</v>
      </c>
      <c r="K225" s="8" t="s">
        <v>48</v>
      </c>
      <c r="L225" s="8" t="s">
        <v>1169</v>
      </c>
      <c r="M225" s="10" t="s">
        <v>1164</v>
      </c>
      <c r="N225" s="11">
        <v>25000.0</v>
      </c>
      <c r="O225" s="12" t="s">
        <v>803</v>
      </c>
      <c r="P225" s="8">
        <v>2011.0</v>
      </c>
      <c r="Q225" s="50">
        <v>0.0</v>
      </c>
      <c r="R225" s="51">
        <v>1.0</v>
      </c>
      <c r="S225" s="52">
        <v>0.0</v>
      </c>
      <c r="T225" s="52">
        <v>0.0</v>
      </c>
      <c r="U225" s="52">
        <v>0.0</v>
      </c>
      <c r="V225" s="52">
        <v>0.0</v>
      </c>
      <c r="W225" s="52">
        <v>0.0</v>
      </c>
      <c r="X225" s="53">
        <v>0.0</v>
      </c>
      <c r="Y225" s="54" t="s">
        <v>1151</v>
      </c>
      <c r="Z225" s="55" t="s">
        <v>1158</v>
      </c>
      <c r="AB225" s="14"/>
      <c r="AC225" s="14"/>
      <c r="AD225" s="14"/>
      <c r="AE225" s="14"/>
      <c r="AF225" s="14"/>
      <c r="AG225" s="14"/>
      <c r="AH225" s="14"/>
    </row>
    <row r="226">
      <c r="A226" s="8" t="s">
        <v>1160</v>
      </c>
      <c r="B226" s="8" t="s">
        <v>1161</v>
      </c>
      <c r="C226" s="8">
        <v>2.0</v>
      </c>
      <c r="D226" s="8" t="s">
        <v>36</v>
      </c>
      <c r="E226" s="8" t="s">
        <v>1147</v>
      </c>
      <c r="F226" s="9">
        <v>40279.0</v>
      </c>
      <c r="G226" s="9">
        <v>40302.0</v>
      </c>
      <c r="H226" s="8">
        <v>2010.0</v>
      </c>
      <c r="I226" s="8" t="s">
        <v>1162</v>
      </c>
      <c r="J226" s="8" t="s">
        <v>109</v>
      </c>
      <c r="K226" s="8" t="s">
        <v>48</v>
      </c>
      <c r="L226" s="8" t="s">
        <v>1170</v>
      </c>
      <c r="M226" s="10" t="s">
        <v>1164</v>
      </c>
      <c r="N226" s="11">
        <v>10000.0</v>
      </c>
      <c r="O226" s="12" t="s">
        <v>803</v>
      </c>
      <c r="P226" s="8">
        <v>2011.0</v>
      </c>
      <c r="Q226" s="50">
        <v>0.0</v>
      </c>
      <c r="R226" s="51">
        <v>1.0</v>
      </c>
      <c r="S226" s="52">
        <v>0.0</v>
      </c>
      <c r="T226" s="52">
        <v>0.0</v>
      </c>
      <c r="U226" s="52">
        <v>0.0</v>
      </c>
      <c r="V226" s="52">
        <v>0.0</v>
      </c>
      <c r="W226" s="52">
        <v>0.0</v>
      </c>
      <c r="X226" s="53">
        <v>0.0</v>
      </c>
      <c r="Y226" s="54" t="s">
        <v>1151</v>
      </c>
      <c r="Z226" s="55" t="s">
        <v>1158</v>
      </c>
      <c r="AB226" s="14"/>
      <c r="AC226" s="14"/>
      <c r="AD226" s="14"/>
      <c r="AE226" s="14"/>
      <c r="AF226" s="14"/>
      <c r="AG226" s="14"/>
      <c r="AH226" s="14"/>
    </row>
    <row r="227">
      <c r="A227" s="8" t="s">
        <v>1160</v>
      </c>
      <c r="B227" s="8" t="s">
        <v>1161</v>
      </c>
      <c r="C227" s="8">
        <v>3.0</v>
      </c>
      <c r="D227" s="8" t="s">
        <v>36</v>
      </c>
      <c r="E227" s="8" t="s">
        <v>1147</v>
      </c>
      <c r="F227" s="9">
        <v>40318.0</v>
      </c>
      <c r="G227" s="9">
        <v>40323.0</v>
      </c>
      <c r="H227" s="8">
        <v>2010.0</v>
      </c>
      <c r="I227" s="8" t="s">
        <v>1162</v>
      </c>
      <c r="J227" s="8" t="s">
        <v>109</v>
      </c>
      <c r="K227" s="8" t="s">
        <v>60</v>
      </c>
      <c r="L227" s="8" t="s">
        <v>1171</v>
      </c>
      <c r="M227" s="10" t="s">
        <v>1164</v>
      </c>
      <c r="N227" s="11">
        <v>49000.0</v>
      </c>
      <c r="O227" s="12" t="s">
        <v>803</v>
      </c>
      <c r="P227" s="8">
        <v>2011.0</v>
      </c>
      <c r="Q227" s="50">
        <v>0.0</v>
      </c>
      <c r="R227" s="51">
        <v>1.0</v>
      </c>
      <c r="S227" s="52">
        <v>0.0</v>
      </c>
      <c r="T227" s="52">
        <v>0.0</v>
      </c>
      <c r="U227" s="52">
        <v>0.0</v>
      </c>
      <c r="V227" s="52">
        <v>0.0</v>
      </c>
      <c r="W227" s="52">
        <v>0.0</v>
      </c>
      <c r="X227" s="53">
        <v>0.0</v>
      </c>
      <c r="Y227" s="54" t="s">
        <v>1151</v>
      </c>
      <c r="Z227" s="55" t="s">
        <v>1158</v>
      </c>
      <c r="AB227" s="14"/>
      <c r="AC227" s="14"/>
      <c r="AD227" s="14"/>
      <c r="AE227" s="14"/>
      <c r="AF227" s="14"/>
      <c r="AG227" s="14"/>
      <c r="AH227" s="14"/>
    </row>
    <row r="228">
      <c r="A228" s="8" t="s">
        <v>1160</v>
      </c>
      <c r="B228" s="8" t="s">
        <v>1161</v>
      </c>
      <c r="C228" s="8">
        <v>5.0</v>
      </c>
      <c r="D228" s="8" t="s">
        <v>36</v>
      </c>
      <c r="E228" s="8" t="s">
        <v>1147</v>
      </c>
      <c r="F228" s="9">
        <v>40445.0</v>
      </c>
      <c r="G228" s="9">
        <v>40451.0</v>
      </c>
      <c r="H228" s="8">
        <v>2010.0</v>
      </c>
      <c r="I228" s="8" t="s">
        <v>1162</v>
      </c>
      <c r="J228" s="8" t="s">
        <v>109</v>
      </c>
      <c r="K228" s="8" t="s">
        <v>48</v>
      </c>
      <c r="L228" s="8" t="s">
        <v>1172</v>
      </c>
      <c r="M228" s="10" t="s">
        <v>1164</v>
      </c>
      <c r="N228" s="11">
        <v>138575.0</v>
      </c>
      <c r="O228" s="12" t="s">
        <v>803</v>
      </c>
      <c r="P228" s="8">
        <v>2011.0</v>
      </c>
      <c r="Q228" s="50">
        <v>0.0</v>
      </c>
      <c r="R228" s="51">
        <v>1.0</v>
      </c>
      <c r="S228" s="52">
        <v>0.0</v>
      </c>
      <c r="T228" s="52">
        <v>0.0</v>
      </c>
      <c r="U228" s="52">
        <v>0.0</v>
      </c>
      <c r="V228" s="52">
        <v>0.0</v>
      </c>
      <c r="W228" s="52">
        <v>0.0</v>
      </c>
      <c r="X228" s="53">
        <v>0.0</v>
      </c>
      <c r="Y228" s="54" t="s">
        <v>1151</v>
      </c>
      <c r="Z228" s="55" t="s">
        <v>1152</v>
      </c>
      <c r="AB228" s="14"/>
      <c r="AC228" s="14"/>
      <c r="AD228" s="14"/>
      <c r="AE228" s="14"/>
      <c r="AF228" s="14"/>
      <c r="AG228" s="14"/>
      <c r="AH228" s="14"/>
    </row>
    <row r="229">
      <c r="A229" s="8" t="s">
        <v>1160</v>
      </c>
      <c r="B229" s="8" t="s">
        <v>1161</v>
      </c>
      <c r="C229" s="8">
        <v>6.0</v>
      </c>
      <c r="D229" s="8" t="s">
        <v>36</v>
      </c>
      <c r="E229" s="8" t="s">
        <v>1147</v>
      </c>
      <c r="F229" s="9">
        <v>40486.0</v>
      </c>
      <c r="G229" s="9">
        <v>40493.0</v>
      </c>
      <c r="H229" s="8">
        <v>2010.0</v>
      </c>
      <c r="I229" s="8" t="s">
        <v>1162</v>
      </c>
      <c r="J229" s="8" t="s">
        <v>109</v>
      </c>
      <c r="K229" s="8" t="s">
        <v>48</v>
      </c>
      <c r="L229" s="8" t="s">
        <v>1173</v>
      </c>
      <c r="M229" s="10" t="s">
        <v>1164</v>
      </c>
      <c r="N229" s="11">
        <v>103494.0</v>
      </c>
      <c r="O229" s="12" t="s">
        <v>803</v>
      </c>
      <c r="P229" s="8">
        <v>2011.0</v>
      </c>
      <c r="Q229" s="50">
        <v>0.0</v>
      </c>
      <c r="R229" s="51">
        <v>1.0</v>
      </c>
      <c r="S229" s="52">
        <v>0.0</v>
      </c>
      <c r="T229" s="52">
        <v>0.0</v>
      </c>
      <c r="U229" s="52">
        <v>0.0</v>
      </c>
      <c r="V229" s="52">
        <v>0.0</v>
      </c>
      <c r="W229" s="52">
        <v>0.0</v>
      </c>
      <c r="X229" s="53">
        <v>0.0</v>
      </c>
      <c r="Y229" s="54" t="s">
        <v>1151</v>
      </c>
      <c r="Z229" s="55" t="s">
        <v>1152</v>
      </c>
      <c r="AB229" s="14"/>
      <c r="AC229" s="14"/>
      <c r="AD229" s="14"/>
      <c r="AE229" s="14"/>
      <c r="AF229" s="14"/>
      <c r="AG229" s="14"/>
      <c r="AH229" s="14"/>
    </row>
    <row r="230">
      <c r="A230" s="8" t="s">
        <v>1160</v>
      </c>
      <c r="B230" s="8" t="s">
        <v>1161</v>
      </c>
      <c r="C230" s="8">
        <v>7.0</v>
      </c>
      <c r="D230" s="8" t="s">
        <v>36</v>
      </c>
      <c r="E230" s="8" t="s">
        <v>1147</v>
      </c>
      <c r="F230" s="9">
        <v>40548.0</v>
      </c>
      <c r="G230" s="9">
        <v>40563.0</v>
      </c>
      <c r="H230" s="8">
        <v>2011.0</v>
      </c>
      <c r="I230" s="8" t="s">
        <v>1162</v>
      </c>
      <c r="J230" s="8" t="s">
        <v>109</v>
      </c>
      <c r="K230" s="8" t="s">
        <v>60</v>
      </c>
      <c r="L230" s="8" t="s">
        <v>1174</v>
      </c>
      <c r="M230" s="10" t="s">
        <v>1164</v>
      </c>
      <c r="N230" s="11">
        <v>150000.0</v>
      </c>
      <c r="O230" s="12" t="s">
        <v>803</v>
      </c>
      <c r="P230" s="8">
        <v>2011.0</v>
      </c>
      <c r="Q230" s="50">
        <v>0.0</v>
      </c>
      <c r="R230" s="52">
        <v>0.0</v>
      </c>
      <c r="S230" s="52">
        <v>0.0</v>
      </c>
      <c r="T230" s="52">
        <v>0.0</v>
      </c>
      <c r="U230" s="52">
        <v>0.0</v>
      </c>
      <c r="V230" s="52">
        <v>0.0</v>
      </c>
      <c r="W230" s="52">
        <v>0.0</v>
      </c>
      <c r="X230" s="53">
        <v>0.0</v>
      </c>
      <c r="Y230" s="8" t="s">
        <v>668</v>
      </c>
      <c r="Z230" s="55" t="s">
        <v>1175</v>
      </c>
      <c r="AB230" s="14"/>
      <c r="AC230" s="14"/>
      <c r="AD230" s="14"/>
      <c r="AE230" s="14"/>
      <c r="AF230" s="14"/>
      <c r="AG230" s="14"/>
      <c r="AH230" s="14"/>
    </row>
    <row r="231">
      <c r="A231" s="8" t="s">
        <v>1160</v>
      </c>
      <c r="B231" s="8" t="s">
        <v>1161</v>
      </c>
      <c r="C231" s="8">
        <v>7.0</v>
      </c>
      <c r="D231" s="8" t="s">
        <v>36</v>
      </c>
      <c r="E231" s="8" t="s">
        <v>1147</v>
      </c>
      <c r="F231" s="9">
        <v>40548.0</v>
      </c>
      <c r="G231" s="9">
        <v>40563.0</v>
      </c>
      <c r="H231" s="8">
        <v>2011.0</v>
      </c>
      <c r="I231" s="8" t="s">
        <v>1162</v>
      </c>
      <c r="J231" s="8" t="s">
        <v>109</v>
      </c>
      <c r="K231" s="8" t="s">
        <v>60</v>
      </c>
      <c r="L231" s="8" t="s">
        <v>1176</v>
      </c>
      <c r="M231" s="10" t="s">
        <v>1164</v>
      </c>
      <c r="N231" s="11">
        <v>26882.0</v>
      </c>
      <c r="O231" s="12" t="s">
        <v>803</v>
      </c>
      <c r="P231" s="8">
        <v>2011.0</v>
      </c>
      <c r="Q231" s="50">
        <v>0.0</v>
      </c>
      <c r="R231" s="52">
        <v>0.0</v>
      </c>
      <c r="S231" s="52">
        <v>0.0</v>
      </c>
      <c r="T231" s="52">
        <v>0.0</v>
      </c>
      <c r="U231" s="52">
        <v>0.0</v>
      </c>
      <c r="V231" s="52">
        <v>0.0</v>
      </c>
      <c r="W231" s="52">
        <v>0.0</v>
      </c>
      <c r="X231" s="53">
        <v>0.0</v>
      </c>
      <c r="Y231" s="54" t="s">
        <v>668</v>
      </c>
      <c r="Z231" s="55" t="s">
        <v>1175</v>
      </c>
      <c r="AB231" s="14"/>
      <c r="AC231" s="14"/>
      <c r="AD231" s="14"/>
      <c r="AE231" s="14"/>
      <c r="AF231" s="14"/>
      <c r="AG231" s="14"/>
      <c r="AH231" s="14"/>
    </row>
    <row r="232">
      <c r="A232" s="8" t="s">
        <v>1160</v>
      </c>
      <c r="B232" s="8" t="s">
        <v>1161</v>
      </c>
      <c r="C232" s="8">
        <v>8.0</v>
      </c>
      <c r="D232" s="8" t="s">
        <v>36</v>
      </c>
      <c r="E232" s="8" t="s">
        <v>1147</v>
      </c>
      <c r="F232" s="9">
        <v>40569.0</v>
      </c>
      <c r="G232" s="9">
        <v>40571.0</v>
      </c>
      <c r="H232" s="8">
        <v>2011.0</v>
      </c>
      <c r="I232" s="8" t="s">
        <v>1162</v>
      </c>
      <c r="J232" s="8" t="s">
        <v>109</v>
      </c>
      <c r="K232" s="8" t="s">
        <v>48</v>
      </c>
      <c r="L232" s="8" t="s">
        <v>1177</v>
      </c>
      <c r="M232" s="10" t="s">
        <v>1164</v>
      </c>
      <c r="N232" s="11">
        <v>23118.0</v>
      </c>
      <c r="O232" s="12" t="s">
        <v>803</v>
      </c>
      <c r="P232" s="8">
        <v>2011.0</v>
      </c>
      <c r="Q232" s="50">
        <v>0.0</v>
      </c>
      <c r="R232" s="52">
        <v>0.0</v>
      </c>
      <c r="S232" s="52">
        <v>0.0</v>
      </c>
      <c r="T232" s="52">
        <v>0.0</v>
      </c>
      <c r="U232" s="52">
        <v>0.0</v>
      </c>
      <c r="V232" s="52">
        <v>0.0</v>
      </c>
      <c r="W232" s="52">
        <v>0.0</v>
      </c>
      <c r="X232" s="53">
        <v>0.0</v>
      </c>
      <c r="Y232" s="54" t="s">
        <v>668</v>
      </c>
      <c r="Z232" s="55" t="s">
        <v>1175</v>
      </c>
      <c r="AB232" s="14"/>
      <c r="AC232" s="14"/>
      <c r="AD232" s="14"/>
      <c r="AE232" s="14"/>
      <c r="AF232" s="14"/>
      <c r="AG232" s="14"/>
      <c r="AH232" s="14"/>
    </row>
    <row r="233">
      <c r="A233" s="8" t="s">
        <v>1160</v>
      </c>
      <c r="B233" s="8" t="s">
        <v>1161</v>
      </c>
      <c r="C233" s="8">
        <v>8.0</v>
      </c>
      <c r="D233" s="8" t="s">
        <v>36</v>
      </c>
      <c r="E233" s="8" t="s">
        <v>1147</v>
      </c>
      <c r="F233" s="9">
        <v>40569.0</v>
      </c>
      <c r="G233" s="9">
        <v>40571.0</v>
      </c>
      <c r="H233" s="8">
        <v>2011.0</v>
      </c>
      <c r="I233" s="8" t="s">
        <v>1162</v>
      </c>
      <c r="J233" s="8" t="s">
        <v>109</v>
      </c>
      <c r="K233" s="8" t="s">
        <v>48</v>
      </c>
      <c r="L233" s="8" t="s">
        <v>1178</v>
      </c>
      <c r="M233" s="10" t="s">
        <v>1164</v>
      </c>
      <c r="N233" s="11">
        <v>34007.0</v>
      </c>
      <c r="O233" s="12" t="s">
        <v>803</v>
      </c>
      <c r="P233" s="8">
        <v>2011.0</v>
      </c>
      <c r="Q233" s="50">
        <v>0.0</v>
      </c>
      <c r="R233" s="52">
        <v>0.0</v>
      </c>
      <c r="S233" s="52">
        <v>0.0</v>
      </c>
      <c r="T233" s="52">
        <v>0.0</v>
      </c>
      <c r="U233" s="52">
        <v>0.0</v>
      </c>
      <c r="V233" s="52">
        <v>0.0</v>
      </c>
      <c r="W233" s="52">
        <v>0.0</v>
      </c>
      <c r="X233" s="53">
        <v>0.0</v>
      </c>
      <c r="Y233" s="54" t="s">
        <v>668</v>
      </c>
      <c r="Z233" s="55" t="s">
        <v>1175</v>
      </c>
      <c r="AB233" s="14"/>
      <c r="AC233" s="14"/>
      <c r="AD233" s="14"/>
      <c r="AE233" s="14"/>
      <c r="AF233" s="14"/>
      <c r="AG233" s="14"/>
      <c r="AH233" s="14"/>
    </row>
    <row r="234">
      <c r="A234" s="8" t="s">
        <v>1179</v>
      </c>
      <c r="B234" s="8" t="s">
        <v>1180</v>
      </c>
      <c r="C234" s="8">
        <v>2.0</v>
      </c>
      <c r="D234" s="8" t="s">
        <v>36</v>
      </c>
      <c r="E234" s="8" t="s">
        <v>1147</v>
      </c>
      <c r="F234" s="9">
        <v>40968.0</v>
      </c>
      <c r="G234" s="9">
        <v>40970.0</v>
      </c>
      <c r="H234" s="8">
        <v>2012.0</v>
      </c>
      <c r="I234" s="8" t="s">
        <v>1181</v>
      </c>
      <c r="J234" s="8" t="s">
        <v>1182</v>
      </c>
      <c r="K234" s="8" t="s">
        <v>48</v>
      </c>
      <c r="L234" s="8" t="s">
        <v>1183</v>
      </c>
      <c r="M234" s="10" t="s">
        <v>1184</v>
      </c>
      <c r="N234" s="11">
        <v>12510.0</v>
      </c>
      <c r="O234" s="12" t="s">
        <v>803</v>
      </c>
      <c r="P234" s="8">
        <v>2011.0</v>
      </c>
      <c r="Q234" s="50">
        <v>0.0</v>
      </c>
      <c r="R234" s="52">
        <v>0.0</v>
      </c>
      <c r="S234" s="52">
        <v>0.0</v>
      </c>
      <c r="T234" s="52">
        <v>0.0</v>
      </c>
      <c r="U234" s="52">
        <v>0.0</v>
      </c>
      <c r="V234" s="52">
        <v>0.0</v>
      </c>
      <c r="W234" s="52">
        <v>0.0</v>
      </c>
      <c r="X234" s="53">
        <v>0.0</v>
      </c>
      <c r="Y234" s="54" t="s">
        <v>668</v>
      </c>
      <c r="Z234" s="55" t="s">
        <v>1175</v>
      </c>
      <c r="AB234" s="14"/>
      <c r="AC234" s="14"/>
      <c r="AD234" s="14"/>
      <c r="AE234" s="14"/>
      <c r="AF234" s="14"/>
      <c r="AG234" s="14"/>
      <c r="AH234" s="14"/>
    </row>
    <row r="235">
      <c r="A235" s="8" t="s">
        <v>1185</v>
      </c>
      <c r="B235" s="8" t="s">
        <v>1186</v>
      </c>
      <c r="C235" s="8">
        <v>1.0</v>
      </c>
      <c r="D235" s="8" t="s">
        <v>36</v>
      </c>
      <c r="E235" s="8" t="s">
        <v>1147</v>
      </c>
      <c r="F235" s="9">
        <v>40354.0</v>
      </c>
      <c r="G235" s="9">
        <v>40357.0</v>
      </c>
      <c r="H235" s="8">
        <v>2010.0</v>
      </c>
      <c r="I235" s="8" t="s">
        <v>1187</v>
      </c>
      <c r="J235" s="8" t="s">
        <v>1188</v>
      </c>
      <c r="K235" s="8" t="s">
        <v>48</v>
      </c>
      <c r="L235" s="8" t="s">
        <v>1189</v>
      </c>
      <c r="M235" s="10" t="s">
        <v>1190</v>
      </c>
      <c r="N235" s="11">
        <v>27437.0</v>
      </c>
      <c r="O235" s="12" t="s">
        <v>803</v>
      </c>
      <c r="P235" s="8">
        <v>2011.0</v>
      </c>
      <c r="Q235" s="56">
        <v>1.0</v>
      </c>
      <c r="R235" s="52">
        <v>0.0</v>
      </c>
      <c r="S235" s="52">
        <v>0.0</v>
      </c>
      <c r="T235" s="52">
        <v>0.0</v>
      </c>
      <c r="U235" s="52">
        <v>0.0</v>
      </c>
      <c r="V235" s="52">
        <v>0.0</v>
      </c>
      <c r="W235" s="52">
        <v>0.0</v>
      </c>
      <c r="X235" s="53">
        <v>0.0</v>
      </c>
      <c r="Y235" s="54" t="s">
        <v>1151</v>
      </c>
      <c r="Z235" s="55" t="s">
        <v>1152</v>
      </c>
      <c r="AB235" s="14"/>
      <c r="AC235" s="14"/>
      <c r="AD235" s="14"/>
      <c r="AE235" s="14"/>
      <c r="AF235" s="14"/>
      <c r="AG235" s="14"/>
      <c r="AH235" s="14"/>
    </row>
    <row r="236">
      <c r="A236" s="8" t="s">
        <v>1191</v>
      </c>
      <c r="B236" s="8" t="s">
        <v>1192</v>
      </c>
      <c r="C236" s="8">
        <v>1.0</v>
      </c>
      <c r="D236" s="8" t="s">
        <v>36</v>
      </c>
      <c r="E236" s="8" t="s">
        <v>1147</v>
      </c>
      <c r="F236" s="9">
        <v>40504.0</v>
      </c>
      <c r="G236" s="9">
        <v>40532.0</v>
      </c>
      <c r="H236" s="8">
        <v>2010.0</v>
      </c>
      <c r="I236" s="8" t="s">
        <v>1193</v>
      </c>
      <c r="J236" s="8" t="s">
        <v>102</v>
      </c>
      <c r="K236" s="8" t="s">
        <v>48</v>
      </c>
      <c r="L236" s="8" t="s">
        <v>1194</v>
      </c>
      <c r="M236" s="10" t="s">
        <v>1195</v>
      </c>
      <c r="N236" s="11">
        <v>100000.0</v>
      </c>
      <c r="O236" s="12" t="s">
        <v>803</v>
      </c>
      <c r="P236" s="8">
        <v>2011.0</v>
      </c>
      <c r="Q236" s="50">
        <v>0.0</v>
      </c>
      <c r="R236" s="51">
        <v>1.0</v>
      </c>
      <c r="S236" s="52">
        <v>0.0</v>
      </c>
      <c r="T236" s="52">
        <v>0.0</v>
      </c>
      <c r="U236" s="52">
        <v>0.0</v>
      </c>
      <c r="V236" s="52">
        <v>0.0</v>
      </c>
      <c r="W236" s="52">
        <v>0.0</v>
      </c>
      <c r="X236" s="53">
        <v>0.0</v>
      </c>
      <c r="Y236" s="54" t="s">
        <v>1151</v>
      </c>
      <c r="Z236" s="55" t="s">
        <v>1158</v>
      </c>
      <c r="AB236" s="14"/>
      <c r="AC236" s="14"/>
      <c r="AD236" s="14"/>
      <c r="AE236" s="14"/>
      <c r="AF236" s="14"/>
      <c r="AG236" s="14"/>
      <c r="AH236" s="14"/>
    </row>
    <row r="237">
      <c r="A237" s="8" t="s">
        <v>1191</v>
      </c>
      <c r="B237" s="8" t="s">
        <v>1192</v>
      </c>
      <c r="C237" s="8">
        <v>1.0</v>
      </c>
      <c r="D237" s="8" t="s">
        <v>36</v>
      </c>
      <c r="E237" s="8" t="s">
        <v>1147</v>
      </c>
      <c r="F237" s="9">
        <v>40504.0</v>
      </c>
      <c r="G237" s="9">
        <v>40532.0</v>
      </c>
      <c r="H237" s="8">
        <v>2010.0</v>
      </c>
      <c r="I237" s="8" t="s">
        <v>1193</v>
      </c>
      <c r="J237" s="8" t="s">
        <v>102</v>
      </c>
      <c r="K237" s="8" t="s">
        <v>48</v>
      </c>
      <c r="L237" s="8" t="s">
        <v>1196</v>
      </c>
      <c r="M237" s="10" t="s">
        <v>1195</v>
      </c>
      <c r="N237" s="11">
        <v>6398.0</v>
      </c>
      <c r="O237" s="12" t="s">
        <v>803</v>
      </c>
      <c r="P237" s="8">
        <v>2011.0</v>
      </c>
      <c r="Q237" s="50">
        <v>0.0</v>
      </c>
      <c r="R237" s="51">
        <v>1.0</v>
      </c>
      <c r="S237" s="52">
        <v>0.0</v>
      </c>
      <c r="T237" s="52">
        <v>0.0</v>
      </c>
      <c r="U237" s="52">
        <v>0.0</v>
      </c>
      <c r="V237" s="52">
        <v>0.0</v>
      </c>
      <c r="W237" s="52">
        <v>0.0</v>
      </c>
      <c r="X237" s="53">
        <v>0.0</v>
      </c>
      <c r="Y237" s="54" t="s">
        <v>1151</v>
      </c>
      <c r="Z237" s="55" t="s">
        <v>1158</v>
      </c>
      <c r="AB237" s="14"/>
      <c r="AC237" s="14"/>
      <c r="AD237" s="14"/>
      <c r="AE237" s="14"/>
      <c r="AF237" s="14"/>
      <c r="AG237" s="14"/>
      <c r="AH237" s="14"/>
    </row>
    <row r="238">
      <c r="A238" s="8" t="s">
        <v>1191</v>
      </c>
      <c r="B238" s="8" t="s">
        <v>1192</v>
      </c>
      <c r="C238" s="8">
        <v>2.0</v>
      </c>
      <c r="D238" s="8" t="s">
        <v>36</v>
      </c>
      <c r="E238" s="8" t="s">
        <v>1147</v>
      </c>
      <c r="F238" s="9">
        <v>40675.0</v>
      </c>
      <c r="G238" s="9">
        <v>40686.0</v>
      </c>
      <c r="H238" s="8">
        <v>2011.0</v>
      </c>
      <c r="I238" s="8" t="s">
        <v>1193</v>
      </c>
      <c r="J238" s="8" t="s">
        <v>102</v>
      </c>
      <c r="K238" s="8" t="s">
        <v>48</v>
      </c>
      <c r="L238" s="8" t="s">
        <v>1197</v>
      </c>
      <c r="M238" s="10" t="s">
        <v>1195</v>
      </c>
      <c r="N238" s="11">
        <v>109653.0</v>
      </c>
      <c r="O238" s="12" t="s">
        <v>803</v>
      </c>
      <c r="P238" s="8">
        <v>2011.0</v>
      </c>
      <c r="Q238" s="50">
        <v>0.0</v>
      </c>
      <c r="R238" s="52">
        <v>0.0</v>
      </c>
      <c r="S238" s="52">
        <v>0.0</v>
      </c>
      <c r="T238" s="52">
        <v>0.0</v>
      </c>
      <c r="U238" s="52">
        <v>0.0</v>
      </c>
      <c r="V238" s="52">
        <v>0.0</v>
      </c>
      <c r="W238" s="52">
        <v>0.0</v>
      </c>
      <c r="X238" s="53">
        <v>0.0</v>
      </c>
      <c r="Y238" s="54" t="s">
        <v>668</v>
      </c>
      <c r="Z238" s="55" t="s">
        <v>1175</v>
      </c>
      <c r="AB238" s="14"/>
      <c r="AC238" s="14"/>
      <c r="AD238" s="14"/>
      <c r="AE238" s="14"/>
      <c r="AF238" s="14"/>
      <c r="AG238" s="14"/>
      <c r="AH238" s="14"/>
    </row>
    <row r="239">
      <c r="A239" s="8" t="s">
        <v>1191</v>
      </c>
      <c r="B239" s="8" t="s">
        <v>1192</v>
      </c>
      <c r="C239" s="8">
        <v>3.0</v>
      </c>
      <c r="D239" s="8" t="s">
        <v>36</v>
      </c>
      <c r="E239" s="8" t="s">
        <v>1147</v>
      </c>
      <c r="F239" s="9">
        <v>40758.0</v>
      </c>
      <c r="G239" s="9">
        <v>40764.0</v>
      </c>
      <c r="H239" s="8">
        <v>2011.0</v>
      </c>
      <c r="I239" s="8" t="s">
        <v>1193</v>
      </c>
      <c r="J239" s="8" t="s">
        <v>102</v>
      </c>
      <c r="K239" s="8" t="s">
        <v>48</v>
      </c>
      <c r="L239" s="8" t="s">
        <v>1198</v>
      </c>
      <c r="M239" s="10" t="s">
        <v>1195</v>
      </c>
      <c r="N239" s="11">
        <v>94621.0</v>
      </c>
      <c r="O239" s="12" t="s">
        <v>803</v>
      </c>
      <c r="P239" s="8">
        <v>2011.0</v>
      </c>
      <c r="Q239" s="50">
        <v>0.0</v>
      </c>
      <c r="R239" s="52">
        <v>0.0</v>
      </c>
      <c r="S239" s="52">
        <v>0.0</v>
      </c>
      <c r="T239" s="52">
        <v>0.0</v>
      </c>
      <c r="U239" s="52">
        <v>0.0</v>
      </c>
      <c r="V239" s="52">
        <v>0.0</v>
      </c>
      <c r="W239" s="52">
        <v>0.0</v>
      </c>
      <c r="X239" s="53">
        <v>0.0</v>
      </c>
      <c r="Y239" s="54" t="s">
        <v>668</v>
      </c>
      <c r="Z239" s="55" t="s">
        <v>1175</v>
      </c>
      <c r="AB239" s="14"/>
      <c r="AC239" s="14"/>
      <c r="AD239" s="14"/>
      <c r="AE239" s="14"/>
      <c r="AF239" s="14"/>
      <c r="AG239" s="14"/>
      <c r="AH239" s="14"/>
    </row>
    <row r="240">
      <c r="A240" s="8" t="s">
        <v>1199</v>
      </c>
      <c r="B240" s="8" t="s">
        <v>1200</v>
      </c>
      <c r="C240" s="8">
        <v>2.0</v>
      </c>
      <c r="D240" s="8" t="s">
        <v>36</v>
      </c>
      <c r="E240" s="8" t="s">
        <v>1147</v>
      </c>
      <c r="F240" s="9">
        <v>40749.0</v>
      </c>
      <c r="G240" s="9">
        <v>40751.0</v>
      </c>
      <c r="H240" s="8">
        <v>2011.0</v>
      </c>
      <c r="I240" s="8" t="s">
        <v>1201</v>
      </c>
      <c r="J240" s="8" t="s">
        <v>102</v>
      </c>
      <c r="K240" s="8" t="s">
        <v>122</v>
      </c>
      <c r="L240" s="8" t="s">
        <v>1202</v>
      </c>
      <c r="M240" s="10" t="s">
        <v>1203</v>
      </c>
      <c r="N240" s="11">
        <v>27951.0</v>
      </c>
      <c r="O240" s="12" t="s">
        <v>803</v>
      </c>
      <c r="P240" s="8">
        <v>2011.0</v>
      </c>
      <c r="Q240" s="50">
        <v>0.0</v>
      </c>
      <c r="R240" s="51">
        <v>1.0</v>
      </c>
      <c r="S240" s="52">
        <v>0.0</v>
      </c>
      <c r="T240" s="52">
        <v>0.0</v>
      </c>
      <c r="U240" s="52">
        <v>0.0</v>
      </c>
      <c r="V240" s="52">
        <v>0.0</v>
      </c>
      <c r="W240" s="52">
        <v>0.0</v>
      </c>
      <c r="X240" s="53">
        <v>0.0</v>
      </c>
      <c r="Y240" s="54" t="s">
        <v>1151</v>
      </c>
      <c r="Z240" s="55" t="s">
        <v>1158</v>
      </c>
      <c r="AB240" s="14"/>
      <c r="AC240" s="14"/>
      <c r="AD240" s="14"/>
      <c r="AE240" s="14"/>
      <c r="AF240" s="14"/>
      <c r="AG240" s="14"/>
      <c r="AH240" s="14"/>
    </row>
    <row r="241">
      <c r="A241" s="8" t="s">
        <v>1204</v>
      </c>
      <c r="B241" s="8" t="s">
        <v>1205</v>
      </c>
      <c r="C241" s="8">
        <v>1.0</v>
      </c>
      <c r="D241" s="8" t="s">
        <v>36</v>
      </c>
      <c r="E241" s="8" t="s">
        <v>1147</v>
      </c>
      <c r="F241" s="9">
        <v>40653.0</v>
      </c>
      <c r="G241" s="9">
        <v>40669.0</v>
      </c>
      <c r="H241" s="8">
        <v>2011.0</v>
      </c>
      <c r="I241" s="8" t="s">
        <v>1206</v>
      </c>
      <c r="J241" s="8" t="s">
        <v>1207</v>
      </c>
      <c r="K241" s="8" t="s">
        <v>48</v>
      </c>
      <c r="L241" s="8" t="s">
        <v>1208</v>
      </c>
      <c r="M241" s="10" t="s">
        <v>1209</v>
      </c>
      <c r="N241" s="11">
        <v>33097.0</v>
      </c>
      <c r="O241" s="12" t="s">
        <v>803</v>
      </c>
      <c r="P241" s="8">
        <v>2011.0</v>
      </c>
      <c r="Q241" s="50">
        <v>0.0</v>
      </c>
      <c r="R241" s="51">
        <v>1.0</v>
      </c>
      <c r="S241" s="52">
        <v>0.0</v>
      </c>
      <c r="T241" s="52">
        <v>0.0</v>
      </c>
      <c r="U241" s="52">
        <v>0.0</v>
      </c>
      <c r="V241" s="52">
        <v>0.0</v>
      </c>
      <c r="W241" s="52">
        <v>0.0</v>
      </c>
      <c r="X241" s="53">
        <v>0.0</v>
      </c>
      <c r="Y241" s="54" t="s">
        <v>1151</v>
      </c>
      <c r="Z241" s="55" t="s">
        <v>1210</v>
      </c>
      <c r="AB241" s="14"/>
      <c r="AC241" s="14"/>
      <c r="AD241" s="14"/>
      <c r="AE241" s="14"/>
      <c r="AF241" s="14"/>
      <c r="AG241" s="14"/>
      <c r="AH241" s="14"/>
    </row>
    <row r="242">
      <c r="A242" s="8" t="s">
        <v>1204</v>
      </c>
      <c r="B242" s="8" t="s">
        <v>1205</v>
      </c>
      <c r="C242" s="8">
        <v>2.0</v>
      </c>
      <c r="D242" s="8" t="s">
        <v>36</v>
      </c>
      <c r="E242" s="8" t="s">
        <v>1147</v>
      </c>
      <c r="F242" s="9">
        <v>40805.0</v>
      </c>
      <c r="G242" s="9">
        <v>40813.0</v>
      </c>
      <c r="H242" s="8">
        <v>2011.0</v>
      </c>
      <c r="I242" s="8" t="s">
        <v>1206</v>
      </c>
      <c r="J242" s="8" t="s">
        <v>1207</v>
      </c>
      <c r="K242" s="8" t="s">
        <v>48</v>
      </c>
      <c r="L242" s="8" t="s">
        <v>1211</v>
      </c>
      <c r="M242" s="10" t="s">
        <v>1209</v>
      </c>
      <c r="N242" s="11">
        <v>54406.0</v>
      </c>
      <c r="O242" s="12" t="s">
        <v>803</v>
      </c>
      <c r="P242" s="8">
        <v>2011.0</v>
      </c>
      <c r="Q242" s="50">
        <v>0.0</v>
      </c>
      <c r="R242" s="51">
        <v>1.0</v>
      </c>
      <c r="S242" s="52">
        <v>0.0</v>
      </c>
      <c r="T242" s="52">
        <v>0.0</v>
      </c>
      <c r="U242" s="52">
        <v>0.0</v>
      </c>
      <c r="V242" s="52">
        <v>0.0</v>
      </c>
      <c r="W242" s="52">
        <v>0.0</v>
      </c>
      <c r="X242" s="53">
        <v>0.0</v>
      </c>
      <c r="Y242" s="54" t="s">
        <v>1151</v>
      </c>
      <c r="Z242" s="55" t="s">
        <v>1210</v>
      </c>
      <c r="AB242" s="14"/>
      <c r="AC242" s="14"/>
      <c r="AD242" s="14"/>
      <c r="AE242" s="14"/>
      <c r="AF242" s="14"/>
      <c r="AG242" s="14"/>
      <c r="AH242" s="14"/>
    </row>
    <row r="243">
      <c r="A243" s="8" t="s">
        <v>1212</v>
      </c>
      <c r="B243" s="8" t="s">
        <v>1213</v>
      </c>
      <c r="C243" s="8">
        <v>1.0</v>
      </c>
      <c r="D243" s="8" t="s">
        <v>36</v>
      </c>
      <c r="E243" s="8" t="s">
        <v>1147</v>
      </c>
      <c r="F243" s="9">
        <v>40598.0</v>
      </c>
      <c r="G243" s="9">
        <v>40634.0</v>
      </c>
      <c r="H243" s="8">
        <v>2011.0</v>
      </c>
      <c r="I243" s="8" t="s">
        <v>1214</v>
      </c>
      <c r="J243" s="8" t="s">
        <v>109</v>
      </c>
      <c r="K243" s="8" t="s">
        <v>48</v>
      </c>
      <c r="L243" s="8" t="s">
        <v>1215</v>
      </c>
      <c r="M243" s="10" t="s">
        <v>1216</v>
      </c>
      <c r="N243" s="11">
        <v>63474.0</v>
      </c>
      <c r="O243" s="12" t="s">
        <v>803</v>
      </c>
      <c r="P243" s="8">
        <v>2011.0</v>
      </c>
      <c r="Q243" s="50">
        <v>0.0</v>
      </c>
      <c r="R243" s="52">
        <v>0.0</v>
      </c>
      <c r="S243" s="52">
        <v>0.0</v>
      </c>
      <c r="T243" s="52">
        <v>0.0</v>
      </c>
      <c r="U243" s="52">
        <v>0.0</v>
      </c>
      <c r="V243" s="52">
        <v>0.0</v>
      </c>
      <c r="W243" s="52">
        <v>0.0</v>
      </c>
      <c r="X243" s="53">
        <v>0.0</v>
      </c>
      <c r="Y243" s="54" t="s">
        <v>668</v>
      </c>
      <c r="Z243" s="55" t="s">
        <v>1175</v>
      </c>
      <c r="AB243" s="14"/>
      <c r="AC243" s="14"/>
      <c r="AD243" s="14"/>
      <c r="AE243" s="14"/>
      <c r="AF243" s="14"/>
      <c r="AG243" s="14"/>
      <c r="AH243" s="14"/>
    </row>
    <row r="244">
      <c r="A244" s="8" t="s">
        <v>1212</v>
      </c>
      <c r="B244" s="8" t="s">
        <v>1213</v>
      </c>
      <c r="C244" s="8">
        <v>1.0</v>
      </c>
      <c r="D244" s="8" t="s">
        <v>36</v>
      </c>
      <c r="E244" s="8" t="s">
        <v>1147</v>
      </c>
      <c r="F244" s="44">
        <v>40598.0</v>
      </c>
      <c r="G244" s="44">
        <v>40634.0</v>
      </c>
      <c r="H244" s="8">
        <v>2011.0</v>
      </c>
      <c r="I244" s="8" t="s">
        <v>1214</v>
      </c>
      <c r="J244" s="8" t="s">
        <v>109</v>
      </c>
      <c r="K244" s="8" t="s">
        <v>48</v>
      </c>
      <c r="L244" s="8" t="s">
        <v>1217</v>
      </c>
      <c r="M244" s="10" t="s">
        <v>1216</v>
      </c>
      <c r="N244" s="11">
        <v>50000.0</v>
      </c>
      <c r="O244" s="12" t="s">
        <v>803</v>
      </c>
      <c r="P244" s="8">
        <v>2011.0</v>
      </c>
      <c r="Q244" s="50">
        <v>0.0</v>
      </c>
      <c r="R244" s="52">
        <v>0.0</v>
      </c>
      <c r="S244" s="52">
        <v>0.0</v>
      </c>
      <c r="T244" s="52">
        <v>0.0</v>
      </c>
      <c r="U244" s="52">
        <v>0.0</v>
      </c>
      <c r="V244" s="52">
        <v>0.0</v>
      </c>
      <c r="W244" s="52">
        <v>0.0</v>
      </c>
      <c r="X244" s="53">
        <v>0.0</v>
      </c>
      <c r="Y244" s="54" t="s">
        <v>668</v>
      </c>
      <c r="Z244" s="55" t="s">
        <v>1175</v>
      </c>
      <c r="AB244" s="14"/>
      <c r="AC244" s="14"/>
      <c r="AD244" s="14"/>
      <c r="AE244" s="14"/>
      <c r="AF244" s="14"/>
      <c r="AG244" s="14"/>
      <c r="AH244" s="14"/>
    </row>
    <row r="245">
      <c r="A245" s="8" t="s">
        <v>1212</v>
      </c>
      <c r="B245" s="8" t="s">
        <v>1213</v>
      </c>
      <c r="C245" s="8">
        <v>2.0</v>
      </c>
      <c r="D245" s="8" t="s">
        <v>36</v>
      </c>
      <c r="E245" s="8" t="s">
        <v>1147</v>
      </c>
      <c r="F245" s="9">
        <v>40649.0</v>
      </c>
      <c r="G245" s="9">
        <v>40653.0</v>
      </c>
      <c r="H245" s="8">
        <v>2011.0</v>
      </c>
      <c r="I245" s="8" t="s">
        <v>1214</v>
      </c>
      <c r="J245" s="8" t="s">
        <v>109</v>
      </c>
      <c r="K245" s="8" t="s">
        <v>48</v>
      </c>
      <c r="L245" s="8" t="s">
        <v>1218</v>
      </c>
      <c r="M245" s="10" t="s">
        <v>1216</v>
      </c>
      <c r="N245" s="11">
        <v>87641.0</v>
      </c>
      <c r="O245" s="12" t="s">
        <v>803</v>
      </c>
      <c r="P245" s="8">
        <v>2011.0</v>
      </c>
      <c r="Q245" s="50">
        <v>0.0</v>
      </c>
      <c r="R245" s="52">
        <v>0.0</v>
      </c>
      <c r="S245" s="52">
        <v>0.0</v>
      </c>
      <c r="T245" s="52">
        <v>0.0</v>
      </c>
      <c r="U245" s="52">
        <v>0.0</v>
      </c>
      <c r="V245" s="52">
        <v>0.0</v>
      </c>
      <c r="W245" s="52">
        <v>0.0</v>
      </c>
      <c r="X245" s="53">
        <v>0.0</v>
      </c>
      <c r="Y245" s="54" t="s">
        <v>668</v>
      </c>
      <c r="Z245" s="55" t="s">
        <v>1175</v>
      </c>
      <c r="AB245" s="14"/>
      <c r="AC245" s="14"/>
      <c r="AD245" s="14"/>
      <c r="AE245" s="14"/>
      <c r="AF245" s="14"/>
      <c r="AG245" s="14"/>
      <c r="AH245" s="14"/>
    </row>
    <row r="246">
      <c r="A246" s="8" t="s">
        <v>1212</v>
      </c>
      <c r="B246" s="8" t="s">
        <v>1213</v>
      </c>
      <c r="C246" s="8">
        <v>3.0</v>
      </c>
      <c r="D246" s="8" t="s">
        <v>36</v>
      </c>
      <c r="E246" s="8" t="s">
        <v>1147</v>
      </c>
      <c r="F246" s="9">
        <v>40690.0</v>
      </c>
      <c r="G246" s="9">
        <v>40709.0</v>
      </c>
      <c r="H246" s="8">
        <v>2011.0</v>
      </c>
      <c r="I246" s="8" t="s">
        <v>1214</v>
      </c>
      <c r="J246" s="8" t="s">
        <v>109</v>
      </c>
      <c r="K246" s="8" t="s">
        <v>60</v>
      </c>
      <c r="L246" s="8" t="s">
        <v>1219</v>
      </c>
      <c r="M246" s="10" t="s">
        <v>1216</v>
      </c>
      <c r="N246" s="11">
        <v>37359.0</v>
      </c>
      <c r="O246" s="12" t="s">
        <v>803</v>
      </c>
      <c r="P246" s="8">
        <v>2011.0</v>
      </c>
      <c r="Q246" s="56">
        <v>0.2376</v>
      </c>
      <c r="R246" s="51">
        <v>0.7624</v>
      </c>
      <c r="S246" s="51">
        <v>0.0</v>
      </c>
      <c r="T246" s="51">
        <v>0.0</v>
      </c>
      <c r="U246" s="51">
        <v>0.0</v>
      </c>
      <c r="V246" s="51">
        <v>0.0</v>
      </c>
      <c r="W246" s="51">
        <v>0.0</v>
      </c>
      <c r="X246" s="57">
        <v>0.0</v>
      </c>
      <c r="Y246" s="58" t="s">
        <v>1151</v>
      </c>
      <c r="Z246" s="55" t="s">
        <v>1220</v>
      </c>
      <c r="AB246" s="14"/>
      <c r="AC246" s="14"/>
      <c r="AD246" s="14"/>
      <c r="AE246" s="14"/>
      <c r="AF246" s="14"/>
      <c r="AG246" s="14"/>
      <c r="AH246" s="14"/>
    </row>
    <row r="247">
      <c r="A247" s="8" t="s">
        <v>1212</v>
      </c>
      <c r="B247" s="8" t="s">
        <v>1213</v>
      </c>
      <c r="C247" s="8">
        <v>3.0</v>
      </c>
      <c r="D247" s="8" t="s">
        <v>36</v>
      </c>
      <c r="E247" s="8" t="s">
        <v>1147</v>
      </c>
      <c r="F247" s="9">
        <v>40690.0</v>
      </c>
      <c r="G247" s="9">
        <v>40709.0</v>
      </c>
      <c r="H247" s="8">
        <v>2011.0</v>
      </c>
      <c r="I247" s="8" t="s">
        <v>1214</v>
      </c>
      <c r="J247" s="8" t="s">
        <v>109</v>
      </c>
      <c r="K247" s="8" t="s">
        <v>60</v>
      </c>
      <c r="L247" s="8" t="s">
        <v>1221</v>
      </c>
      <c r="M247" s="10" t="s">
        <v>1216</v>
      </c>
      <c r="N247" s="11">
        <v>9980.0</v>
      </c>
      <c r="O247" s="12" t="s">
        <v>803</v>
      </c>
      <c r="P247" s="8">
        <v>2011.0</v>
      </c>
      <c r="Q247" s="56">
        <v>0.2376</v>
      </c>
      <c r="R247" s="51">
        <v>0.7624</v>
      </c>
      <c r="S247" s="51">
        <v>0.0</v>
      </c>
      <c r="T247" s="51">
        <v>0.0</v>
      </c>
      <c r="U247" s="51">
        <v>0.0</v>
      </c>
      <c r="V247" s="51">
        <v>0.0</v>
      </c>
      <c r="W247" s="51">
        <v>0.0</v>
      </c>
      <c r="X247" s="57">
        <v>0.0</v>
      </c>
      <c r="Y247" s="58" t="s">
        <v>1151</v>
      </c>
      <c r="Z247" s="55" t="s">
        <v>1220</v>
      </c>
      <c r="AB247" s="14"/>
      <c r="AC247" s="14"/>
      <c r="AD247" s="14"/>
      <c r="AE247" s="14"/>
      <c r="AF247" s="14"/>
      <c r="AG247" s="14"/>
      <c r="AH247" s="14"/>
    </row>
    <row r="248">
      <c r="A248" s="8" t="s">
        <v>1212</v>
      </c>
      <c r="B248" s="8" t="s">
        <v>1213</v>
      </c>
      <c r="C248" s="8">
        <v>4.0</v>
      </c>
      <c r="D248" s="8" t="s">
        <v>36</v>
      </c>
      <c r="E248" s="8" t="s">
        <v>1147</v>
      </c>
      <c r="F248" s="9">
        <v>40725.0</v>
      </c>
      <c r="G248" s="9">
        <v>40750.0</v>
      </c>
      <c r="H248" s="8">
        <v>2011.0</v>
      </c>
      <c r="I248" s="8" t="s">
        <v>1214</v>
      </c>
      <c r="J248" s="8" t="s">
        <v>109</v>
      </c>
      <c r="K248" s="8" t="s">
        <v>60</v>
      </c>
      <c r="L248" s="8" t="s">
        <v>1222</v>
      </c>
      <c r="M248" s="10" t="s">
        <v>1216</v>
      </c>
      <c r="N248" s="11">
        <v>127688.0</v>
      </c>
      <c r="O248" s="12" t="s">
        <v>803</v>
      </c>
      <c r="P248" s="8">
        <v>2011.0</v>
      </c>
      <c r="Q248" s="50">
        <v>0.0</v>
      </c>
      <c r="R248" s="52">
        <v>0.0</v>
      </c>
      <c r="S248" s="52">
        <v>0.0</v>
      </c>
      <c r="T248" s="52">
        <v>0.0</v>
      </c>
      <c r="U248" s="52">
        <v>0.0</v>
      </c>
      <c r="V248" s="52">
        <v>0.0</v>
      </c>
      <c r="W248" s="52">
        <v>0.0</v>
      </c>
      <c r="X248" s="53">
        <v>0.0</v>
      </c>
      <c r="Y248" s="54" t="s">
        <v>668</v>
      </c>
      <c r="Z248" s="55" t="s">
        <v>1175</v>
      </c>
      <c r="AB248" s="14"/>
      <c r="AC248" s="14"/>
      <c r="AD248" s="14"/>
      <c r="AE248" s="14"/>
      <c r="AF248" s="14"/>
      <c r="AG248" s="14"/>
      <c r="AH248" s="14"/>
    </row>
    <row r="249">
      <c r="A249" s="8" t="s">
        <v>1212</v>
      </c>
      <c r="B249" s="8" t="s">
        <v>1213</v>
      </c>
      <c r="C249" s="8">
        <v>5.0</v>
      </c>
      <c r="D249" s="8" t="s">
        <v>36</v>
      </c>
      <c r="E249" s="8" t="s">
        <v>1147</v>
      </c>
      <c r="F249" s="9">
        <v>40789.0</v>
      </c>
      <c r="G249" s="9">
        <v>40814.0</v>
      </c>
      <c r="H249" s="8">
        <v>2011.0</v>
      </c>
      <c r="I249" s="8" t="s">
        <v>1214</v>
      </c>
      <c r="J249" s="8" t="s">
        <v>109</v>
      </c>
      <c r="K249" s="8" t="s">
        <v>60</v>
      </c>
      <c r="L249" s="8" t="s">
        <v>1223</v>
      </c>
      <c r="M249" s="10" t="s">
        <v>1216</v>
      </c>
      <c r="N249" s="11">
        <v>117427.0</v>
      </c>
      <c r="O249" s="12" t="s">
        <v>803</v>
      </c>
      <c r="P249" s="8">
        <v>2011.0</v>
      </c>
      <c r="Q249" s="50">
        <v>0.0</v>
      </c>
      <c r="R249" s="52">
        <v>0.0</v>
      </c>
      <c r="S249" s="52">
        <v>0.0</v>
      </c>
      <c r="T249" s="52">
        <v>0.0</v>
      </c>
      <c r="U249" s="52">
        <v>0.0</v>
      </c>
      <c r="V249" s="52">
        <v>0.0</v>
      </c>
      <c r="W249" s="52">
        <v>0.0</v>
      </c>
      <c r="X249" s="53">
        <v>0.0</v>
      </c>
      <c r="Y249" s="54" t="s">
        <v>668</v>
      </c>
      <c r="Z249" s="55" t="s">
        <v>1175</v>
      </c>
      <c r="AB249" s="14"/>
      <c r="AC249" s="14"/>
      <c r="AD249" s="14"/>
      <c r="AE249" s="14"/>
      <c r="AF249" s="14"/>
      <c r="AG249" s="14"/>
      <c r="AH249" s="14"/>
    </row>
    <row r="250">
      <c r="A250" s="8" t="s">
        <v>1212</v>
      </c>
      <c r="B250" s="8" t="s">
        <v>1213</v>
      </c>
      <c r="C250" s="8">
        <v>6.0</v>
      </c>
      <c r="D250" s="8" t="s">
        <v>36</v>
      </c>
      <c r="E250" s="8" t="s">
        <v>1147</v>
      </c>
      <c r="F250" s="9">
        <v>40840.0</v>
      </c>
      <c r="G250" s="9">
        <v>40843.0</v>
      </c>
      <c r="H250" s="8">
        <v>2011.0</v>
      </c>
      <c r="I250" s="8" t="s">
        <v>1214</v>
      </c>
      <c r="J250" s="8" t="s">
        <v>109</v>
      </c>
      <c r="K250" s="8" t="s">
        <v>60</v>
      </c>
      <c r="L250" s="8" t="s">
        <v>1224</v>
      </c>
      <c r="M250" s="10" t="s">
        <v>1216</v>
      </c>
      <c r="N250" s="11">
        <v>67022.0</v>
      </c>
      <c r="O250" s="12" t="s">
        <v>803</v>
      </c>
      <c r="P250" s="8">
        <v>2011.0</v>
      </c>
      <c r="Q250" s="50">
        <v>0.0</v>
      </c>
      <c r="R250" s="51">
        <v>1.0</v>
      </c>
      <c r="S250" s="52">
        <v>0.0</v>
      </c>
      <c r="T250" s="52">
        <v>0.0</v>
      </c>
      <c r="U250" s="52">
        <v>0.0</v>
      </c>
      <c r="V250" s="52">
        <v>0.0</v>
      </c>
      <c r="W250" s="52">
        <v>0.0</v>
      </c>
      <c r="X250" s="53">
        <v>0.0</v>
      </c>
      <c r="Y250" s="54" t="s">
        <v>1151</v>
      </c>
      <c r="Z250" s="55" t="s">
        <v>1152</v>
      </c>
      <c r="AB250" s="14"/>
      <c r="AC250" s="14"/>
      <c r="AD250" s="14"/>
      <c r="AE250" s="14"/>
      <c r="AF250" s="14"/>
      <c r="AG250" s="14"/>
      <c r="AH250" s="14"/>
    </row>
    <row r="251">
      <c r="A251" s="8" t="s">
        <v>1212</v>
      </c>
      <c r="B251" s="8" t="s">
        <v>1213</v>
      </c>
      <c r="C251" s="8">
        <v>7.0</v>
      </c>
      <c r="D251" s="8" t="s">
        <v>36</v>
      </c>
      <c r="E251" s="8" t="s">
        <v>1147</v>
      </c>
      <c r="F251" s="9">
        <v>40855.0</v>
      </c>
      <c r="G251" s="9">
        <v>40866.0</v>
      </c>
      <c r="H251" s="8">
        <v>2011.0</v>
      </c>
      <c r="I251" s="8" t="s">
        <v>1214</v>
      </c>
      <c r="J251" s="8" t="s">
        <v>109</v>
      </c>
      <c r="K251" s="8" t="s">
        <v>48</v>
      </c>
      <c r="L251" s="8" t="s">
        <v>1225</v>
      </c>
      <c r="M251" s="10" t="s">
        <v>1216</v>
      </c>
      <c r="N251" s="11">
        <v>87863.0</v>
      </c>
      <c r="O251" s="12" t="s">
        <v>803</v>
      </c>
      <c r="P251" s="8">
        <v>2011.0</v>
      </c>
      <c r="Q251" s="50">
        <v>0.0</v>
      </c>
      <c r="R251" s="52">
        <v>0.0</v>
      </c>
      <c r="S251" s="52">
        <v>0.0</v>
      </c>
      <c r="T251" s="52">
        <v>0.0</v>
      </c>
      <c r="U251" s="52">
        <v>0.0</v>
      </c>
      <c r="V251" s="52">
        <v>0.0</v>
      </c>
      <c r="W251" s="52">
        <v>0.0</v>
      </c>
      <c r="X251" s="53">
        <v>0.0</v>
      </c>
      <c r="Y251" s="54" t="s">
        <v>668</v>
      </c>
      <c r="Z251" s="55" t="s">
        <v>1175</v>
      </c>
      <c r="AB251" s="14"/>
      <c r="AC251" s="14"/>
      <c r="AD251" s="14"/>
      <c r="AE251" s="14"/>
      <c r="AF251" s="14"/>
      <c r="AG251" s="14"/>
      <c r="AH251" s="14"/>
    </row>
    <row r="252">
      <c r="A252" s="8" t="s">
        <v>1226</v>
      </c>
      <c r="B252" s="8" t="s">
        <v>1227</v>
      </c>
      <c r="C252" s="8">
        <v>1.0</v>
      </c>
      <c r="D252" s="8" t="s">
        <v>36</v>
      </c>
      <c r="E252" s="8" t="s">
        <v>1147</v>
      </c>
      <c r="F252" s="9">
        <v>40571.0</v>
      </c>
      <c r="G252" s="9">
        <v>40574.0</v>
      </c>
      <c r="H252" s="8">
        <v>2011.0</v>
      </c>
      <c r="I252" s="8" t="s">
        <v>1228</v>
      </c>
      <c r="J252" s="8" t="s">
        <v>1188</v>
      </c>
      <c r="K252" s="8" t="s">
        <v>48</v>
      </c>
      <c r="L252" s="8" t="s">
        <v>1229</v>
      </c>
      <c r="M252" s="10" t="s">
        <v>1230</v>
      </c>
      <c r="N252" s="11">
        <v>55730.0</v>
      </c>
      <c r="O252" s="12" t="s">
        <v>803</v>
      </c>
      <c r="P252" s="8">
        <v>2011.0</v>
      </c>
      <c r="Q252" s="50">
        <v>0.0</v>
      </c>
      <c r="R252" s="51">
        <v>0.69139</v>
      </c>
      <c r="S252" s="52">
        <v>0.0</v>
      </c>
      <c r="T252" s="52">
        <v>0.0</v>
      </c>
      <c r="U252" s="51">
        <v>0.30456</v>
      </c>
      <c r="V252" s="51">
        <v>0.00405</v>
      </c>
      <c r="W252" s="52">
        <v>0.0</v>
      </c>
      <c r="X252" s="53">
        <v>0.0</v>
      </c>
      <c r="Y252" s="54" t="s">
        <v>1151</v>
      </c>
      <c r="Z252" s="55" t="s">
        <v>1152</v>
      </c>
      <c r="AB252" s="14"/>
      <c r="AC252" s="14"/>
      <c r="AD252" s="14"/>
      <c r="AE252" s="14"/>
      <c r="AF252" s="14"/>
      <c r="AG252" s="14"/>
      <c r="AH252" s="14"/>
    </row>
    <row r="253">
      <c r="A253" s="8" t="s">
        <v>1231</v>
      </c>
      <c r="B253" s="8" t="s">
        <v>1232</v>
      </c>
      <c r="C253" s="8">
        <v>1.0</v>
      </c>
      <c r="D253" s="8" t="s">
        <v>36</v>
      </c>
      <c r="E253" s="8" t="s">
        <v>1147</v>
      </c>
      <c r="F253" s="9">
        <v>40697.0</v>
      </c>
      <c r="G253" s="9">
        <v>40710.0</v>
      </c>
      <c r="H253" s="8">
        <v>2011.0</v>
      </c>
      <c r="I253" s="8" t="s">
        <v>1233</v>
      </c>
      <c r="J253" s="8" t="s">
        <v>383</v>
      </c>
      <c r="K253" s="8" t="s">
        <v>48</v>
      </c>
      <c r="L253" s="8" t="s">
        <v>1234</v>
      </c>
      <c r="M253" s="10" t="s">
        <v>1235</v>
      </c>
      <c r="N253" s="11">
        <v>95487.0</v>
      </c>
      <c r="O253" s="12" t="s">
        <v>803</v>
      </c>
      <c r="P253" s="8">
        <v>2011.0</v>
      </c>
      <c r="Q253" s="50">
        <v>0.0</v>
      </c>
      <c r="R253" s="52">
        <v>0.0</v>
      </c>
      <c r="S253" s="52">
        <v>0.0</v>
      </c>
      <c r="T253" s="52">
        <v>0.0</v>
      </c>
      <c r="U253" s="52">
        <v>0.0</v>
      </c>
      <c r="V253" s="52">
        <v>0.0</v>
      </c>
      <c r="W253" s="52">
        <v>0.0</v>
      </c>
      <c r="X253" s="53">
        <v>0.0</v>
      </c>
      <c r="Y253" s="54" t="s">
        <v>668</v>
      </c>
      <c r="Z253" s="55" t="s">
        <v>1175</v>
      </c>
      <c r="AB253" s="14"/>
      <c r="AC253" s="14"/>
      <c r="AD253" s="14"/>
      <c r="AE253" s="14"/>
      <c r="AF253" s="14"/>
      <c r="AG253" s="14"/>
      <c r="AH253" s="14"/>
    </row>
    <row r="254">
      <c r="A254" s="8" t="s">
        <v>1231</v>
      </c>
      <c r="B254" s="8" t="s">
        <v>1232</v>
      </c>
      <c r="C254" s="8">
        <v>2.0</v>
      </c>
      <c r="D254" s="8" t="s">
        <v>36</v>
      </c>
      <c r="E254" s="8" t="s">
        <v>1147</v>
      </c>
      <c r="F254" s="9">
        <v>40760.0</v>
      </c>
      <c r="G254" s="9">
        <v>40780.0</v>
      </c>
      <c r="H254" s="8">
        <v>2011.0</v>
      </c>
      <c r="I254" s="8" t="s">
        <v>1233</v>
      </c>
      <c r="J254" s="8" t="s">
        <v>383</v>
      </c>
      <c r="K254" s="8" t="s">
        <v>48</v>
      </c>
      <c r="L254" s="8" t="s">
        <v>1236</v>
      </c>
      <c r="M254" s="10" t="s">
        <v>1235</v>
      </c>
      <c r="N254" s="11">
        <v>24912.0</v>
      </c>
      <c r="O254" s="12" t="s">
        <v>803</v>
      </c>
      <c r="P254" s="8">
        <v>2011.0</v>
      </c>
      <c r="Q254" s="50">
        <v>0.0</v>
      </c>
      <c r="R254" s="52">
        <v>0.0</v>
      </c>
      <c r="S254" s="52">
        <v>0.0</v>
      </c>
      <c r="T254" s="52">
        <v>0.0</v>
      </c>
      <c r="U254" s="52">
        <v>0.0</v>
      </c>
      <c r="V254" s="52">
        <v>0.0</v>
      </c>
      <c r="W254" s="52">
        <v>0.0</v>
      </c>
      <c r="X254" s="53">
        <v>0.0</v>
      </c>
      <c r="Y254" s="54" t="s">
        <v>668</v>
      </c>
      <c r="Z254" s="55" t="s">
        <v>1175</v>
      </c>
      <c r="AB254" s="14"/>
      <c r="AC254" s="14"/>
      <c r="AD254" s="14"/>
      <c r="AE254" s="14"/>
      <c r="AF254" s="14"/>
      <c r="AG254" s="14"/>
      <c r="AH254" s="14"/>
    </row>
    <row r="255">
      <c r="A255" s="8" t="s">
        <v>1231</v>
      </c>
      <c r="B255" s="8" t="s">
        <v>1232</v>
      </c>
      <c r="C255" s="8">
        <v>3.0</v>
      </c>
      <c r="D255" s="8" t="s">
        <v>36</v>
      </c>
      <c r="E255" s="8" t="s">
        <v>1147</v>
      </c>
      <c r="F255" s="9">
        <v>40987.0</v>
      </c>
      <c r="G255" s="9">
        <v>41046.0</v>
      </c>
      <c r="H255" s="8">
        <v>2012.0</v>
      </c>
      <c r="I255" s="8" t="s">
        <v>1233</v>
      </c>
      <c r="J255" s="8" t="s">
        <v>383</v>
      </c>
      <c r="K255" s="8" t="s">
        <v>81</v>
      </c>
      <c r="L255" s="8" t="s">
        <v>1237</v>
      </c>
      <c r="M255" s="10" t="s">
        <v>1235</v>
      </c>
      <c r="N255" s="11">
        <v>90214.0</v>
      </c>
      <c r="O255" s="12" t="s">
        <v>803</v>
      </c>
      <c r="P255" s="8">
        <v>2011.0</v>
      </c>
      <c r="Q255" s="50">
        <v>0.0</v>
      </c>
      <c r="R255" s="52">
        <v>0.0</v>
      </c>
      <c r="S255" s="52">
        <v>0.0</v>
      </c>
      <c r="T255" s="52">
        <v>0.0</v>
      </c>
      <c r="U255" s="52">
        <v>0.0</v>
      </c>
      <c r="V255" s="52">
        <v>0.0</v>
      </c>
      <c r="W255" s="52">
        <v>0.0</v>
      </c>
      <c r="X255" s="53">
        <v>0.0</v>
      </c>
      <c r="Y255" s="54" t="s">
        <v>668</v>
      </c>
      <c r="Z255" s="55" t="s">
        <v>1175</v>
      </c>
      <c r="AB255" s="14"/>
      <c r="AC255" s="14"/>
      <c r="AD255" s="14"/>
      <c r="AE255" s="14"/>
      <c r="AF255" s="14"/>
      <c r="AG255" s="14"/>
      <c r="AH255" s="14"/>
    </row>
    <row r="256">
      <c r="A256" s="8" t="s">
        <v>1238</v>
      </c>
      <c r="B256" s="8" t="s">
        <v>1239</v>
      </c>
      <c r="C256" s="8">
        <v>1.0</v>
      </c>
      <c r="D256" s="8" t="s">
        <v>36</v>
      </c>
      <c r="E256" s="8" t="s">
        <v>1147</v>
      </c>
      <c r="F256" s="9">
        <v>40695.0</v>
      </c>
      <c r="G256" s="9">
        <v>40698.0</v>
      </c>
      <c r="H256" s="8">
        <v>2011.0</v>
      </c>
      <c r="I256" s="8" t="s">
        <v>1240</v>
      </c>
      <c r="J256" s="8" t="s">
        <v>1188</v>
      </c>
      <c r="K256" s="8" t="s">
        <v>48</v>
      </c>
      <c r="L256" s="8" t="s">
        <v>1241</v>
      </c>
      <c r="M256" s="10" t="s">
        <v>1242</v>
      </c>
      <c r="N256" s="11">
        <v>30061.0</v>
      </c>
      <c r="O256" s="12" t="s">
        <v>803</v>
      </c>
      <c r="P256" s="8">
        <v>2011.0</v>
      </c>
      <c r="Q256" s="56">
        <v>0.25792</v>
      </c>
      <c r="R256" s="51">
        <v>0.74174</v>
      </c>
      <c r="S256" s="52">
        <v>0.0</v>
      </c>
      <c r="T256" s="52">
        <v>0.0</v>
      </c>
      <c r="U256" s="52">
        <v>0.0</v>
      </c>
      <c r="V256" s="51">
        <v>3.4E-4</v>
      </c>
      <c r="W256" s="52">
        <v>0.0</v>
      </c>
      <c r="X256" s="53">
        <v>0.0</v>
      </c>
      <c r="Y256" s="54" t="s">
        <v>1151</v>
      </c>
      <c r="Z256" s="55" t="s">
        <v>1152</v>
      </c>
      <c r="AB256" s="14"/>
      <c r="AC256" s="14"/>
      <c r="AD256" s="14"/>
      <c r="AE256" s="14"/>
      <c r="AF256" s="14"/>
      <c r="AG256" s="14"/>
      <c r="AH256" s="14"/>
    </row>
    <row r="257">
      <c r="A257" s="8" t="s">
        <v>1243</v>
      </c>
      <c r="B257" s="8" t="s">
        <v>1244</v>
      </c>
      <c r="C257" s="8">
        <v>1.0</v>
      </c>
      <c r="D257" s="8" t="s">
        <v>36</v>
      </c>
      <c r="E257" s="8" t="s">
        <v>1147</v>
      </c>
      <c r="F257" s="9">
        <v>40743.0</v>
      </c>
      <c r="G257" s="9">
        <v>40747.0</v>
      </c>
      <c r="H257" s="8">
        <v>2011.0</v>
      </c>
      <c r="I257" s="8" t="s">
        <v>1245</v>
      </c>
      <c r="J257" s="8" t="s">
        <v>1188</v>
      </c>
      <c r="K257" s="8" t="s">
        <v>48</v>
      </c>
      <c r="L257" s="8" t="s">
        <v>1246</v>
      </c>
      <c r="M257" s="10" t="s">
        <v>1247</v>
      </c>
      <c r="N257" s="11">
        <v>21870.0</v>
      </c>
      <c r="O257" s="12" t="s">
        <v>803</v>
      </c>
      <c r="P257" s="8">
        <v>2011.0</v>
      </c>
      <c r="Q257" s="56">
        <v>0.01106</v>
      </c>
      <c r="R257" s="51">
        <v>0.9723</v>
      </c>
      <c r="S257" s="52">
        <v>0.0</v>
      </c>
      <c r="T257" s="52">
        <v>0.0</v>
      </c>
      <c r="U257" s="51">
        <v>0.00134</v>
      </c>
      <c r="V257" s="51">
        <v>0.0153</v>
      </c>
      <c r="W257" s="52">
        <v>0.0</v>
      </c>
      <c r="X257" s="53">
        <v>0.0</v>
      </c>
      <c r="Y257" s="54" t="s">
        <v>1151</v>
      </c>
      <c r="Z257" s="55" t="s">
        <v>1152</v>
      </c>
      <c r="AB257" s="14"/>
      <c r="AC257" s="14"/>
      <c r="AD257" s="14"/>
      <c r="AE257" s="14"/>
      <c r="AF257" s="14"/>
      <c r="AG257" s="14"/>
      <c r="AH257" s="14"/>
    </row>
    <row r="258">
      <c r="A258" s="8" t="s">
        <v>1243</v>
      </c>
      <c r="B258" s="8" t="s">
        <v>1244</v>
      </c>
      <c r="C258" s="8">
        <v>2.0</v>
      </c>
      <c r="D258" s="8" t="s">
        <v>36</v>
      </c>
      <c r="E258" s="8" t="s">
        <v>1147</v>
      </c>
      <c r="F258" s="9">
        <v>40767.0</v>
      </c>
      <c r="G258" s="9">
        <v>40771.0</v>
      </c>
      <c r="H258" s="8">
        <v>2011.0</v>
      </c>
      <c r="I258" s="8" t="s">
        <v>1245</v>
      </c>
      <c r="J258" s="8" t="s">
        <v>1188</v>
      </c>
      <c r="K258" s="8" t="s">
        <v>48</v>
      </c>
      <c r="L258" s="8" t="s">
        <v>1248</v>
      </c>
      <c r="M258" s="10" t="s">
        <v>1247</v>
      </c>
      <c r="N258" s="11">
        <v>70737.0</v>
      </c>
      <c r="O258" s="12" t="s">
        <v>803</v>
      </c>
      <c r="P258" s="8">
        <v>2011.0</v>
      </c>
      <c r="Q258" s="56">
        <v>0.50109</v>
      </c>
      <c r="R258" s="51">
        <v>0.00212</v>
      </c>
      <c r="S258" s="52">
        <v>0.0</v>
      </c>
      <c r="T258" s="52">
        <v>0.0</v>
      </c>
      <c r="U258" s="51">
        <v>0.49679</v>
      </c>
      <c r="V258" s="52">
        <v>0.0</v>
      </c>
      <c r="W258" s="52">
        <v>0.0</v>
      </c>
      <c r="X258" s="53">
        <v>0.0</v>
      </c>
      <c r="Y258" s="54" t="s">
        <v>1151</v>
      </c>
      <c r="Z258" s="55" t="s">
        <v>1152</v>
      </c>
      <c r="AB258" s="14"/>
      <c r="AC258" s="14"/>
      <c r="AD258" s="14"/>
      <c r="AE258" s="14"/>
      <c r="AF258" s="14"/>
      <c r="AG258" s="14"/>
      <c r="AH258" s="14"/>
    </row>
    <row r="259">
      <c r="A259" s="8" t="s">
        <v>1243</v>
      </c>
      <c r="B259" s="8" t="s">
        <v>1244</v>
      </c>
      <c r="C259" s="8">
        <v>3.0</v>
      </c>
      <c r="D259" s="8" t="s">
        <v>36</v>
      </c>
      <c r="E259" s="8" t="s">
        <v>1147</v>
      </c>
      <c r="F259" s="9">
        <v>40828.0</v>
      </c>
      <c r="G259" s="9">
        <v>40850.0</v>
      </c>
      <c r="H259" s="8">
        <v>2011.0</v>
      </c>
      <c r="I259" s="8" t="s">
        <v>1245</v>
      </c>
      <c r="J259" s="8" t="s">
        <v>1188</v>
      </c>
      <c r="K259" s="8" t="s">
        <v>48</v>
      </c>
      <c r="L259" s="8" t="s">
        <v>1249</v>
      </c>
      <c r="M259" s="10" t="s">
        <v>1247</v>
      </c>
      <c r="N259" s="11">
        <v>38704.0</v>
      </c>
      <c r="O259" s="12" t="s">
        <v>803</v>
      </c>
      <c r="P259" s="8">
        <v>2011.0</v>
      </c>
      <c r="Q259" s="56">
        <v>0.3688</v>
      </c>
      <c r="R259" s="51">
        <v>0.6166</v>
      </c>
      <c r="S259" s="52">
        <v>0.0</v>
      </c>
      <c r="T259" s="52">
        <v>0.0</v>
      </c>
      <c r="U259" s="51">
        <v>0.0055</v>
      </c>
      <c r="V259" s="51">
        <v>0.00911</v>
      </c>
      <c r="W259" s="52">
        <v>0.0</v>
      </c>
      <c r="X259" s="53">
        <v>0.0</v>
      </c>
      <c r="Y259" s="54" t="s">
        <v>1151</v>
      </c>
      <c r="Z259" s="55" t="s">
        <v>1210</v>
      </c>
      <c r="AB259" s="14"/>
      <c r="AC259" s="14"/>
      <c r="AD259" s="14"/>
      <c r="AE259" s="14"/>
      <c r="AF259" s="14"/>
      <c r="AG259" s="14"/>
      <c r="AH259" s="14"/>
    </row>
    <row r="260">
      <c r="A260" s="8" t="s">
        <v>1243</v>
      </c>
      <c r="B260" s="8" t="s">
        <v>1244</v>
      </c>
      <c r="C260" s="8">
        <v>4.0</v>
      </c>
      <c r="D260" s="8" t="s">
        <v>36</v>
      </c>
      <c r="E260" s="8" t="s">
        <v>1147</v>
      </c>
      <c r="F260" s="9">
        <v>40883.0</v>
      </c>
      <c r="G260" s="9">
        <v>40933.0</v>
      </c>
      <c r="H260" s="8">
        <v>2012.0</v>
      </c>
      <c r="I260" s="8" t="s">
        <v>1245</v>
      </c>
      <c r="J260" s="8" t="s">
        <v>1188</v>
      </c>
      <c r="K260" s="8" t="s">
        <v>48</v>
      </c>
      <c r="L260" s="8" t="s">
        <v>1250</v>
      </c>
      <c r="M260" s="10" t="s">
        <v>1247</v>
      </c>
      <c r="N260" s="11">
        <v>102276.0</v>
      </c>
      <c r="O260" s="12" t="s">
        <v>803</v>
      </c>
      <c r="P260" s="8">
        <v>2011.0</v>
      </c>
      <c r="Q260" s="56">
        <v>0.41039</v>
      </c>
      <c r="R260" s="51">
        <v>0.53634</v>
      </c>
      <c r="S260" s="52">
        <v>0.0</v>
      </c>
      <c r="T260" s="52">
        <v>0.0</v>
      </c>
      <c r="U260" s="51">
        <v>0.04388</v>
      </c>
      <c r="V260" s="51">
        <v>0.0094</v>
      </c>
      <c r="W260" s="52">
        <v>0.0</v>
      </c>
      <c r="X260" s="53">
        <v>0.0</v>
      </c>
      <c r="Y260" s="54" t="s">
        <v>1151</v>
      </c>
      <c r="Z260" s="55" t="s">
        <v>1210</v>
      </c>
      <c r="AB260" s="14"/>
      <c r="AC260" s="14"/>
      <c r="AD260" s="14"/>
      <c r="AE260" s="14"/>
      <c r="AF260" s="14"/>
      <c r="AG260" s="14"/>
      <c r="AH260" s="14"/>
    </row>
    <row r="261">
      <c r="A261" s="8" t="s">
        <v>1251</v>
      </c>
      <c r="B261" s="8" t="s">
        <v>1252</v>
      </c>
      <c r="C261" s="8">
        <v>1.0</v>
      </c>
      <c r="D261" s="8" t="s">
        <v>36</v>
      </c>
      <c r="E261" s="8" t="s">
        <v>1147</v>
      </c>
      <c r="F261" s="9">
        <v>40785.0</v>
      </c>
      <c r="G261" s="9">
        <v>40786.0</v>
      </c>
      <c r="H261" s="8">
        <v>2011.0</v>
      </c>
      <c r="I261" s="8" t="s">
        <v>1253</v>
      </c>
      <c r="J261" s="8" t="s">
        <v>383</v>
      </c>
      <c r="K261" s="8" t="s">
        <v>48</v>
      </c>
      <c r="L261" s="8" t="s">
        <v>1254</v>
      </c>
      <c r="M261" s="10" t="s">
        <v>1255</v>
      </c>
      <c r="N261" s="11">
        <v>41583.0</v>
      </c>
      <c r="O261" s="12" t="s">
        <v>803</v>
      </c>
      <c r="P261" s="8">
        <v>2011.0</v>
      </c>
      <c r="Q261" s="56">
        <v>1.0</v>
      </c>
      <c r="R261" s="52">
        <v>0.0</v>
      </c>
      <c r="S261" s="52">
        <v>0.0</v>
      </c>
      <c r="T261" s="52">
        <v>0.0</v>
      </c>
      <c r="U261" s="52">
        <v>0.0</v>
      </c>
      <c r="V261" s="52">
        <v>0.0</v>
      </c>
      <c r="W261" s="52">
        <v>0.0</v>
      </c>
      <c r="X261" s="53">
        <v>0.0</v>
      </c>
      <c r="Y261" s="54" t="s">
        <v>1151</v>
      </c>
      <c r="Z261" s="55" t="s">
        <v>1158</v>
      </c>
      <c r="AB261" s="14"/>
      <c r="AC261" s="14"/>
      <c r="AD261" s="14"/>
      <c r="AE261" s="14"/>
      <c r="AF261" s="14"/>
      <c r="AG261" s="14"/>
      <c r="AH261" s="14"/>
    </row>
    <row r="262">
      <c r="A262" s="8" t="s">
        <v>1251</v>
      </c>
      <c r="B262" s="8" t="s">
        <v>1252</v>
      </c>
      <c r="C262" s="8">
        <v>2.0</v>
      </c>
      <c r="D262" s="8" t="s">
        <v>36</v>
      </c>
      <c r="E262" s="8" t="s">
        <v>1147</v>
      </c>
      <c r="F262" s="9">
        <v>40849.0</v>
      </c>
      <c r="G262" s="9">
        <v>40851.0</v>
      </c>
      <c r="H262" s="8">
        <v>2011.0</v>
      </c>
      <c r="I262" s="8" t="s">
        <v>1253</v>
      </c>
      <c r="J262" s="8" t="s">
        <v>383</v>
      </c>
      <c r="K262" s="8" t="s">
        <v>48</v>
      </c>
      <c r="L262" s="8" t="s">
        <v>1256</v>
      </c>
      <c r="M262" s="10" t="s">
        <v>1255</v>
      </c>
      <c r="N262" s="11">
        <v>42696.0</v>
      </c>
      <c r="O262" s="12" t="s">
        <v>803</v>
      </c>
      <c r="P262" s="8">
        <v>2011.0</v>
      </c>
      <c r="Q262" s="56">
        <v>1.0</v>
      </c>
      <c r="R262" s="52">
        <v>0.0</v>
      </c>
      <c r="S262" s="52">
        <v>0.0</v>
      </c>
      <c r="T262" s="52">
        <v>0.0</v>
      </c>
      <c r="U262" s="52">
        <v>0.0</v>
      </c>
      <c r="V262" s="52">
        <v>0.0</v>
      </c>
      <c r="W262" s="52">
        <v>0.0</v>
      </c>
      <c r="X262" s="53">
        <v>0.0</v>
      </c>
      <c r="Y262" s="54" t="s">
        <v>1151</v>
      </c>
      <c r="Z262" s="55" t="s">
        <v>1158</v>
      </c>
      <c r="AB262" s="14"/>
      <c r="AC262" s="14"/>
      <c r="AD262" s="14"/>
      <c r="AE262" s="14"/>
      <c r="AF262" s="14"/>
      <c r="AG262" s="14"/>
      <c r="AH262" s="14"/>
    </row>
    <row r="263">
      <c r="A263" s="8" t="s">
        <v>1251</v>
      </c>
      <c r="B263" s="8" t="s">
        <v>1252</v>
      </c>
      <c r="C263" s="8">
        <v>3.0</v>
      </c>
      <c r="D263" s="8" t="s">
        <v>36</v>
      </c>
      <c r="E263" s="8" t="s">
        <v>1147</v>
      </c>
      <c r="F263" s="9">
        <v>40892.0</v>
      </c>
      <c r="G263" s="9">
        <v>40901.0</v>
      </c>
      <c r="H263" s="8">
        <v>2011.0</v>
      </c>
      <c r="I263" s="8" t="s">
        <v>1253</v>
      </c>
      <c r="J263" s="8" t="s">
        <v>383</v>
      </c>
      <c r="K263" s="8" t="s">
        <v>48</v>
      </c>
      <c r="L263" s="8" t="s">
        <v>1257</v>
      </c>
      <c r="M263" s="10" t="s">
        <v>1255</v>
      </c>
      <c r="N263" s="11">
        <v>76344.0</v>
      </c>
      <c r="O263" s="12" t="s">
        <v>803</v>
      </c>
      <c r="P263" s="8">
        <v>2011.0</v>
      </c>
      <c r="Q263" s="56">
        <v>1.0</v>
      </c>
      <c r="R263" s="52">
        <v>0.0</v>
      </c>
      <c r="S263" s="52">
        <v>0.0</v>
      </c>
      <c r="T263" s="52">
        <v>0.0</v>
      </c>
      <c r="U263" s="52">
        <v>0.0</v>
      </c>
      <c r="V263" s="52">
        <v>0.0</v>
      </c>
      <c r="W263" s="52">
        <v>0.0</v>
      </c>
      <c r="X263" s="53">
        <v>0.0</v>
      </c>
      <c r="Y263" s="54" t="s">
        <v>1151</v>
      </c>
      <c r="Z263" s="55" t="s">
        <v>1158</v>
      </c>
      <c r="AB263" s="14"/>
      <c r="AC263" s="14"/>
      <c r="AD263" s="14"/>
      <c r="AE263" s="14"/>
      <c r="AF263" s="14"/>
      <c r="AG263" s="14"/>
      <c r="AH263" s="14"/>
    </row>
    <row r="264">
      <c r="A264" s="8" t="s">
        <v>1258</v>
      </c>
      <c r="B264" s="8" t="s">
        <v>1259</v>
      </c>
      <c r="C264" s="8">
        <v>1.0</v>
      </c>
      <c r="D264" s="8" t="s">
        <v>36</v>
      </c>
      <c r="E264" s="8" t="s">
        <v>1147</v>
      </c>
      <c r="F264" s="9">
        <v>40871.0</v>
      </c>
      <c r="G264" s="9">
        <v>40876.0</v>
      </c>
      <c r="H264" s="8">
        <v>2011.0</v>
      </c>
      <c r="I264" s="8" t="s">
        <v>1260</v>
      </c>
      <c r="J264" s="8" t="s">
        <v>1261</v>
      </c>
      <c r="K264" s="8" t="s">
        <v>133</v>
      </c>
      <c r="L264" s="8" t="s">
        <v>1262</v>
      </c>
      <c r="M264" s="10" t="s">
        <v>1263</v>
      </c>
      <c r="N264" s="11">
        <v>49621.0</v>
      </c>
      <c r="O264" s="12" t="s">
        <v>803</v>
      </c>
      <c r="P264" s="8">
        <v>2011.0</v>
      </c>
      <c r="Q264" s="56">
        <v>1.0</v>
      </c>
      <c r="R264" s="52">
        <v>0.0</v>
      </c>
      <c r="S264" s="52">
        <v>0.0</v>
      </c>
      <c r="T264" s="52">
        <v>0.0</v>
      </c>
      <c r="U264" s="52">
        <v>0.0</v>
      </c>
      <c r="V264" s="52">
        <v>0.0</v>
      </c>
      <c r="W264" s="52">
        <v>0.0</v>
      </c>
      <c r="X264" s="53">
        <v>0.0</v>
      </c>
      <c r="Y264" s="54" t="s">
        <v>1151</v>
      </c>
      <c r="Z264" s="55" t="s">
        <v>1158</v>
      </c>
      <c r="AB264" s="14"/>
      <c r="AC264" s="14"/>
      <c r="AD264" s="14"/>
      <c r="AE264" s="14"/>
      <c r="AF264" s="14"/>
      <c r="AG264" s="14"/>
      <c r="AH264" s="14"/>
    </row>
    <row r="265">
      <c r="A265" s="8" t="s">
        <v>1258</v>
      </c>
      <c r="B265" s="8" t="s">
        <v>1259</v>
      </c>
      <c r="C265" s="8">
        <v>2.0</v>
      </c>
      <c r="D265" s="8" t="s">
        <v>36</v>
      </c>
      <c r="E265" s="8" t="s">
        <v>1147</v>
      </c>
      <c r="F265" s="9">
        <v>40901.0</v>
      </c>
      <c r="G265" s="9">
        <v>40904.0</v>
      </c>
      <c r="H265" s="8">
        <v>2011.0</v>
      </c>
      <c r="I265" s="8" t="s">
        <v>1260</v>
      </c>
      <c r="J265" s="8" t="s">
        <v>1261</v>
      </c>
      <c r="K265" s="8" t="s">
        <v>133</v>
      </c>
      <c r="L265" s="8" t="s">
        <v>1264</v>
      </c>
      <c r="M265" s="10" t="s">
        <v>1263</v>
      </c>
      <c r="N265" s="11">
        <v>17063.0</v>
      </c>
      <c r="O265" s="12" t="s">
        <v>803</v>
      </c>
      <c r="P265" s="8">
        <v>2011.0</v>
      </c>
      <c r="Q265" s="56">
        <v>1.0</v>
      </c>
      <c r="R265" s="52">
        <v>0.0</v>
      </c>
      <c r="S265" s="52">
        <v>0.0</v>
      </c>
      <c r="T265" s="52">
        <v>0.0</v>
      </c>
      <c r="U265" s="52">
        <v>0.0</v>
      </c>
      <c r="V265" s="52">
        <v>0.0</v>
      </c>
      <c r="W265" s="52">
        <v>0.0</v>
      </c>
      <c r="X265" s="53">
        <v>0.0</v>
      </c>
      <c r="Y265" s="54" t="s">
        <v>1151</v>
      </c>
      <c r="Z265" s="55" t="s">
        <v>1158</v>
      </c>
      <c r="AB265" s="14"/>
      <c r="AC265" s="14"/>
      <c r="AD265" s="14"/>
      <c r="AE265" s="14"/>
      <c r="AF265" s="14"/>
      <c r="AG265" s="14"/>
      <c r="AH265" s="14"/>
    </row>
    <row r="266">
      <c r="A266" s="8" t="s">
        <v>1258</v>
      </c>
      <c r="B266" s="8" t="s">
        <v>1259</v>
      </c>
      <c r="C266" s="8">
        <v>3.0</v>
      </c>
      <c r="D266" s="8" t="s">
        <v>36</v>
      </c>
      <c r="E266" s="8" t="s">
        <v>1147</v>
      </c>
      <c r="F266" s="9">
        <v>40968.0</v>
      </c>
      <c r="G266" s="9">
        <v>40975.0</v>
      </c>
      <c r="H266" s="8">
        <v>2012.0</v>
      </c>
      <c r="I266" s="8" t="s">
        <v>1260</v>
      </c>
      <c r="J266" s="8" t="s">
        <v>1261</v>
      </c>
      <c r="K266" s="8" t="s">
        <v>133</v>
      </c>
      <c r="L266" s="8" t="s">
        <v>1265</v>
      </c>
      <c r="M266" s="10" t="s">
        <v>1263</v>
      </c>
      <c r="N266" s="11">
        <v>34332.0</v>
      </c>
      <c r="O266" s="12" t="s">
        <v>803</v>
      </c>
      <c r="P266" s="8">
        <v>2011.0</v>
      </c>
      <c r="Q266" s="50">
        <v>0.0</v>
      </c>
      <c r="R266" s="51">
        <v>1.0</v>
      </c>
      <c r="S266" s="52">
        <v>0.0</v>
      </c>
      <c r="T266" s="52">
        <v>0.0</v>
      </c>
      <c r="U266" s="52">
        <v>0.0</v>
      </c>
      <c r="V266" s="52">
        <v>0.0</v>
      </c>
      <c r="W266" s="52">
        <v>0.0</v>
      </c>
      <c r="X266" s="53">
        <v>0.0</v>
      </c>
      <c r="Y266" s="54" t="s">
        <v>1151</v>
      </c>
      <c r="Z266" s="55" t="s">
        <v>1158</v>
      </c>
      <c r="AB266" s="14"/>
      <c r="AC266" s="14"/>
      <c r="AD266" s="14"/>
      <c r="AE266" s="14"/>
      <c r="AF266" s="14"/>
      <c r="AG266" s="14"/>
      <c r="AH266" s="14"/>
    </row>
    <row r="267">
      <c r="A267" s="8" t="s">
        <v>1258</v>
      </c>
      <c r="B267" s="8" t="s">
        <v>1259</v>
      </c>
      <c r="C267" s="8">
        <v>4.0</v>
      </c>
      <c r="D267" s="8" t="s">
        <v>36</v>
      </c>
      <c r="E267" s="8" t="s">
        <v>1147</v>
      </c>
      <c r="F267" s="9">
        <v>41057.0</v>
      </c>
      <c r="G267" s="9">
        <v>41072.0</v>
      </c>
      <c r="H267" s="8">
        <v>2012.0</v>
      </c>
      <c r="I267" s="8" t="s">
        <v>1260</v>
      </c>
      <c r="J267" s="8" t="s">
        <v>1261</v>
      </c>
      <c r="K267" s="8" t="s">
        <v>133</v>
      </c>
      <c r="L267" s="8" t="s">
        <v>1266</v>
      </c>
      <c r="M267" s="10" t="s">
        <v>1263</v>
      </c>
      <c r="N267" s="11">
        <v>27056.0</v>
      </c>
      <c r="O267" s="12" t="s">
        <v>803</v>
      </c>
      <c r="P267" s="8">
        <v>2011.0</v>
      </c>
      <c r="Q267" s="56">
        <v>0.2732</v>
      </c>
      <c r="R267" s="51">
        <v>0.7263</v>
      </c>
      <c r="S267" s="51">
        <v>0.0</v>
      </c>
      <c r="T267" s="51">
        <v>0.0</v>
      </c>
      <c r="U267" s="51">
        <v>0.0</v>
      </c>
      <c r="V267" s="51">
        <v>6.0E-4</v>
      </c>
      <c r="W267" s="51">
        <v>0.0</v>
      </c>
      <c r="X267" s="57">
        <v>0.0</v>
      </c>
      <c r="Y267" s="58" t="s">
        <v>1151</v>
      </c>
      <c r="Z267" s="55" t="s">
        <v>1152</v>
      </c>
      <c r="AB267" s="14"/>
      <c r="AC267" s="14"/>
      <c r="AD267" s="14"/>
      <c r="AE267" s="14"/>
      <c r="AF267" s="14"/>
      <c r="AG267" s="14"/>
      <c r="AH267" s="14"/>
    </row>
    <row r="268">
      <c r="A268" s="8" t="s">
        <v>1267</v>
      </c>
      <c r="B268" s="8" t="s">
        <v>1268</v>
      </c>
      <c r="C268" s="8">
        <v>1.0</v>
      </c>
      <c r="D268" s="8" t="s">
        <v>36</v>
      </c>
      <c r="E268" s="8" t="s">
        <v>1147</v>
      </c>
      <c r="F268" s="9">
        <v>40750.0</v>
      </c>
      <c r="G268" s="9">
        <v>40754.0</v>
      </c>
      <c r="H268" s="8">
        <v>2011.0</v>
      </c>
      <c r="I268" s="8" t="s">
        <v>1269</v>
      </c>
      <c r="J268" s="8" t="s">
        <v>377</v>
      </c>
      <c r="K268" s="8" t="s">
        <v>48</v>
      </c>
      <c r="L268" s="8" t="s">
        <v>1270</v>
      </c>
      <c r="M268" s="10" t="s">
        <v>1271</v>
      </c>
      <c r="N268" s="11">
        <v>125306.0</v>
      </c>
      <c r="O268" s="12" t="s">
        <v>803</v>
      </c>
      <c r="P268" s="8">
        <v>2011.0</v>
      </c>
      <c r="Q268" s="50">
        <v>0.0</v>
      </c>
      <c r="R268" s="51">
        <v>1.0</v>
      </c>
      <c r="S268" s="52">
        <v>0.0</v>
      </c>
      <c r="T268" s="52">
        <v>0.0</v>
      </c>
      <c r="U268" s="52">
        <v>0.0</v>
      </c>
      <c r="V268" s="52">
        <v>0.0</v>
      </c>
      <c r="W268" s="52">
        <v>0.0</v>
      </c>
      <c r="X268" s="53">
        <v>0.0</v>
      </c>
      <c r="Y268" s="54" t="s">
        <v>1151</v>
      </c>
      <c r="Z268" s="55" t="s">
        <v>1158</v>
      </c>
      <c r="AB268" s="14"/>
      <c r="AC268" s="14"/>
      <c r="AD268" s="14"/>
      <c r="AE268" s="14"/>
      <c r="AF268" s="14"/>
      <c r="AG268" s="14"/>
      <c r="AH268" s="14"/>
    </row>
    <row r="269">
      <c r="A269" s="8" t="s">
        <v>1267</v>
      </c>
      <c r="B269" s="8" t="s">
        <v>1268</v>
      </c>
      <c r="C269" s="8">
        <v>2.0</v>
      </c>
      <c r="D269" s="8" t="s">
        <v>36</v>
      </c>
      <c r="E269" s="8" t="s">
        <v>1147</v>
      </c>
      <c r="F269" s="9">
        <v>40876.0</v>
      </c>
      <c r="G269" s="9">
        <v>40880.0</v>
      </c>
      <c r="H269" s="8">
        <v>2011.0</v>
      </c>
      <c r="I269" s="8" t="s">
        <v>1269</v>
      </c>
      <c r="J269" s="8" t="s">
        <v>377</v>
      </c>
      <c r="K269" s="8" t="s">
        <v>48</v>
      </c>
      <c r="L269" s="8" t="s">
        <v>1272</v>
      </c>
      <c r="M269" s="10" t="s">
        <v>1271</v>
      </c>
      <c r="N269" s="11">
        <v>72682.0</v>
      </c>
      <c r="O269" s="12" t="s">
        <v>803</v>
      </c>
      <c r="P269" s="8">
        <v>2011.0</v>
      </c>
      <c r="Q269" s="50">
        <v>0.0</v>
      </c>
      <c r="R269" s="51">
        <v>1.0</v>
      </c>
      <c r="S269" s="52">
        <v>0.0</v>
      </c>
      <c r="T269" s="52">
        <v>0.0</v>
      </c>
      <c r="U269" s="52">
        <v>0.0</v>
      </c>
      <c r="V269" s="52">
        <v>0.0</v>
      </c>
      <c r="W269" s="52">
        <v>0.0</v>
      </c>
      <c r="X269" s="53">
        <v>0.0</v>
      </c>
      <c r="Y269" s="54" t="s">
        <v>1151</v>
      </c>
      <c r="Z269" s="55" t="s">
        <v>1158</v>
      </c>
      <c r="AB269" s="14"/>
      <c r="AC269" s="14"/>
      <c r="AD269" s="14"/>
      <c r="AE269" s="14"/>
      <c r="AF269" s="14"/>
      <c r="AG269" s="14"/>
      <c r="AH269" s="14"/>
    </row>
    <row r="270">
      <c r="A270" s="8" t="s">
        <v>1273</v>
      </c>
      <c r="B270" s="8" t="s">
        <v>1274</v>
      </c>
      <c r="C270" s="8">
        <v>1.0</v>
      </c>
      <c r="D270" s="8" t="s">
        <v>36</v>
      </c>
      <c r="E270" s="8" t="s">
        <v>1147</v>
      </c>
      <c r="F270" s="9">
        <v>40928.0</v>
      </c>
      <c r="G270" s="9">
        <v>40964.0</v>
      </c>
      <c r="H270" s="8">
        <v>2012.0</v>
      </c>
      <c r="I270" s="8" t="s">
        <v>1275</v>
      </c>
      <c r="J270" s="8" t="s">
        <v>1207</v>
      </c>
      <c r="K270" s="8" t="s">
        <v>48</v>
      </c>
      <c r="L270" s="8" t="s">
        <v>1276</v>
      </c>
      <c r="M270" s="10" t="s">
        <v>1277</v>
      </c>
      <c r="N270" s="11">
        <v>46215.0</v>
      </c>
      <c r="O270" s="12" t="s">
        <v>803</v>
      </c>
      <c r="P270" s="8">
        <v>2011.0</v>
      </c>
      <c r="Q270" s="50">
        <v>0.0</v>
      </c>
      <c r="R270" s="52">
        <v>0.0</v>
      </c>
      <c r="S270" s="52">
        <v>0.0</v>
      </c>
      <c r="T270" s="52">
        <v>0.0</v>
      </c>
      <c r="U270" s="52">
        <v>0.0</v>
      </c>
      <c r="V270" s="52">
        <v>0.0</v>
      </c>
      <c r="W270" s="52">
        <v>0.0</v>
      </c>
      <c r="X270" s="53">
        <v>0.0</v>
      </c>
      <c r="Y270" s="54" t="s">
        <v>668</v>
      </c>
      <c r="Z270" s="55" t="s">
        <v>1175</v>
      </c>
      <c r="AB270" s="14"/>
      <c r="AC270" s="14"/>
      <c r="AD270" s="14"/>
      <c r="AE270" s="14"/>
      <c r="AF270" s="14"/>
      <c r="AG270" s="14"/>
      <c r="AH270" s="14"/>
    </row>
    <row r="271">
      <c r="A271" s="8" t="s">
        <v>1278</v>
      </c>
      <c r="B271" s="8" t="s">
        <v>1279</v>
      </c>
      <c r="C271" s="8">
        <v>1.0</v>
      </c>
      <c r="D271" s="8" t="s">
        <v>36</v>
      </c>
      <c r="E271" s="8" t="s">
        <v>1147</v>
      </c>
      <c r="F271" s="9">
        <v>41195.0</v>
      </c>
      <c r="G271" s="9">
        <v>41201.0</v>
      </c>
      <c r="H271" s="8">
        <v>2012.0</v>
      </c>
      <c r="I271" s="8" t="s">
        <v>1280</v>
      </c>
      <c r="J271" s="8" t="s">
        <v>837</v>
      </c>
      <c r="K271" s="8" t="s">
        <v>48</v>
      </c>
      <c r="L271" s="8" t="s">
        <v>1281</v>
      </c>
      <c r="M271" s="10" t="s">
        <v>1282</v>
      </c>
      <c r="N271" s="11">
        <v>52500.0</v>
      </c>
      <c r="O271" s="12" t="s">
        <v>803</v>
      </c>
      <c r="P271" s="8">
        <v>2011.0</v>
      </c>
      <c r="Q271" s="56">
        <v>0.02956</v>
      </c>
      <c r="R271" s="51">
        <v>0.97044</v>
      </c>
      <c r="S271" s="52">
        <v>0.0</v>
      </c>
      <c r="T271" s="52">
        <v>0.0</v>
      </c>
      <c r="U271" s="52">
        <v>0.0</v>
      </c>
      <c r="V271" s="52">
        <v>0.0</v>
      </c>
      <c r="W271" s="52">
        <v>0.0</v>
      </c>
      <c r="X271" s="53">
        <v>0.0</v>
      </c>
      <c r="Y271" s="54" t="s">
        <v>1151</v>
      </c>
      <c r="Z271" s="55" t="s">
        <v>1152</v>
      </c>
      <c r="AB271" s="14"/>
      <c r="AC271" s="14"/>
      <c r="AD271" s="14"/>
      <c r="AE271" s="14"/>
      <c r="AF271" s="14"/>
      <c r="AG271" s="14"/>
      <c r="AH271" s="14"/>
    </row>
    <row r="272">
      <c r="A272" s="8" t="s">
        <v>1283</v>
      </c>
      <c r="B272" s="8" t="s">
        <v>1284</v>
      </c>
      <c r="C272" s="8">
        <v>1.0</v>
      </c>
      <c r="D272" s="8" t="s">
        <v>36</v>
      </c>
      <c r="E272" s="8" t="s">
        <v>1147</v>
      </c>
      <c r="F272" s="9">
        <v>40920.0</v>
      </c>
      <c r="G272" s="9">
        <v>40924.0</v>
      </c>
      <c r="H272" s="8">
        <v>2012.0</v>
      </c>
      <c r="I272" s="8" t="s">
        <v>1285</v>
      </c>
      <c r="J272" s="8" t="s">
        <v>109</v>
      </c>
      <c r="K272" s="8" t="s">
        <v>48</v>
      </c>
      <c r="L272" s="8" t="s">
        <v>1286</v>
      </c>
      <c r="M272" s="10" t="s">
        <v>1287</v>
      </c>
      <c r="N272" s="11">
        <v>40501.0</v>
      </c>
      <c r="O272" s="12" t="s">
        <v>803</v>
      </c>
      <c r="P272" s="8">
        <v>2011.0</v>
      </c>
      <c r="Q272" s="50">
        <v>0.0</v>
      </c>
      <c r="R272" s="51">
        <v>1.0</v>
      </c>
      <c r="S272" s="52">
        <v>0.0</v>
      </c>
      <c r="T272" s="52">
        <v>0.0</v>
      </c>
      <c r="U272" s="52">
        <v>0.0</v>
      </c>
      <c r="V272" s="52">
        <v>0.0</v>
      </c>
      <c r="W272" s="52">
        <v>0.0</v>
      </c>
      <c r="X272" s="53">
        <v>0.0</v>
      </c>
      <c r="Y272" s="54" t="s">
        <v>1151</v>
      </c>
      <c r="Z272" s="55" t="s">
        <v>1158</v>
      </c>
      <c r="AB272" s="14"/>
      <c r="AC272" s="14"/>
      <c r="AD272" s="14"/>
      <c r="AE272" s="14"/>
      <c r="AF272" s="14"/>
      <c r="AG272" s="14"/>
      <c r="AH272" s="14"/>
    </row>
    <row r="273">
      <c r="A273" s="8" t="s">
        <v>1283</v>
      </c>
      <c r="B273" s="8" t="s">
        <v>1284</v>
      </c>
      <c r="C273" s="8">
        <v>1.0</v>
      </c>
      <c r="D273" s="8" t="s">
        <v>36</v>
      </c>
      <c r="E273" s="8" t="s">
        <v>1147</v>
      </c>
      <c r="F273" s="9">
        <v>40920.0</v>
      </c>
      <c r="G273" s="9">
        <v>40924.0</v>
      </c>
      <c r="H273" s="8">
        <v>2012.0</v>
      </c>
      <c r="I273" s="8" t="s">
        <v>1285</v>
      </c>
      <c r="J273" s="8" t="s">
        <v>109</v>
      </c>
      <c r="K273" s="8" t="s">
        <v>48</v>
      </c>
      <c r="L273" s="8" t="s">
        <v>1288</v>
      </c>
      <c r="M273" s="10" t="s">
        <v>1287</v>
      </c>
      <c r="N273" s="11">
        <v>25000.0</v>
      </c>
      <c r="O273" s="12" t="s">
        <v>803</v>
      </c>
      <c r="P273" s="8">
        <v>2011.0</v>
      </c>
      <c r="Q273" s="50">
        <v>0.0</v>
      </c>
      <c r="R273" s="51">
        <v>1.0</v>
      </c>
      <c r="S273" s="52">
        <v>0.0</v>
      </c>
      <c r="T273" s="52">
        <v>0.0</v>
      </c>
      <c r="U273" s="52">
        <v>0.0</v>
      </c>
      <c r="V273" s="52">
        <v>0.0</v>
      </c>
      <c r="W273" s="52">
        <v>0.0</v>
      </c>
      <c r="X273" s="53">
        <v>0.0</v>
      </c>
      <c r="Y273" s="54" t="s">
        <v>1151</v>
      </c>
      <c r="Z273" s="55" t="s">
        <v>1158</v>
      </c>
      <c r="AB273" s="14"/>
      <c r="AC273" s="14"/>
      <c r="AD273" s="14"/>
      <c r="AE273" s="14"/>
      <c r="AF273" s="14"/>
      <c r="AG273" s="14"/>
      <c r="AH273" s="14"/>
    </row>
    <row r="274">
      <c r="A274" s="8" t="s">
        <v>1283</v>
      </c>
      <c r="B274" s="8" t="s">
        <v>1284</v>
      </c>
      <c r="C274" s="8">
        <v>2.0</v>
      </c>
      <c r="D274" s="8" t="s">
        <v>36</v>
      </c>
      <c r="E274" s="8" t="s">
        <v>1147</v>
      </c>
      <c r="F274" s="9">
        <v>40939.0</v>
      </c>
      <c r="G274" s="9">
        <v>40942.0</v>
      </c>
      <c r="H274" s="8">
        <v>2012.0</v>
      </c>
      <c r="I274" s="8" t="s">
        <v>1285</v>
      </c>
      <c r="J274" s="8" t="s">
        <v>109</v>
      </c>
      <c r="K274" s="8" t="s">
        <v>48</v>
      </c>
      <c r="L274" s="8" t="s">
        <v>1289</v>
      </c>
      <c r="M274" s="10" t="s">
        <v>1287</v>
      </c>
      <c r="N274" s="11">
        <v>88955.0</v>
      </c>
      <c r="O274" s="12" t="s">
        <v>803</v>
      </c>
      <c r="P274" s="8">
        <v>2011.0</v>
      </c>
      <c r="Q274" s="50">
        <v>0.0</v>
      </c>
      <c r="R274" s="51">
        <v>1.0</v>
      </c>
      <c r="S274" s="52">
        <v>0.0</v>
      </c>
      <c r="T274" s="52">
        <v>0.0</v>
      </c>
      <c r="U274" s="52">
        <v>0.0</v>
      </c>
      <c r="V274" s="52">
        <v>0.0</v>
      </c>
      <c r="W274" s="52">
        <v>0.0</v>
      </c>
      <c r="X274" s="53">
        <v>0.0</v>
      </c>
      <c r="Y274" s="54" t="s">
        <v>1151</v>
      </c>
      <c r="Z274" s="55" t="s">
        <v>1158</v>
      </c>
      <c r="AB274" s="14"/>
      <c r="AC274" s="14"/>
      <c r="AD274" s="14"/>
      <c r="AE274" s="14"/>
      <c r="AF274" s="14"/>
      <c r="AG274" s="14"/>
      <c r="AH274" s="14"/>
    </row>
    <row r="275">
      <c r="A275" s="8" t="s">
        <v>1283</v>
      </c>
      <c r="B275" s="8" t="s">
        <v>1284</v>
      </c>
      <c r="C275" s="8">
        <v>3.0</v>
      </c>
      <c r="D275" s="8" t="s">
        <v>36</v>
      </c>
      <c r="E275" s="8" t="s">
        <v>1147</v>
      </c>
      <c r="F275" s="9">
        <v>40958.0</v>
      </c>
      <c r="G275" s="9">
        <v>40962.0</v>
      </c>
      <c r="H275" s="8">
        <v>2012.0</v>
      </c>
      <c r="I275" s="8" t="s">
        <v>1285</v>
      </c>
      <c r="J275" s="8" t="s">
        <v>109</v>
      </c>
      <c r="K275" s="8" t="s">
        <v>48</v>
      </c>
      <c r="L275" s="8" t="s">
        <v>1290</v>
      </c>
      <c r="M275" s="10" t="s">
        <v>1287</v>
      </c>
      <c r="N275" s="11">
        <v>81758.0</v>
      </c>
      <c r="O275" s="12" t="s">
        <v>803</v>
      </c>
      <c r="P275" s="8">
        <v>2011.0</v>
      </c>
      <c r="Q275" s="50">
        <v>0.0</v>
      </c>
      <c r="R275" s="52">
        <v>0.0</v>
      </c>
      <c r="S275" s="52">
        <v>0.0</v>
      </c>
      <c r="T275" s="52">
        <v>0.0</v>
      </c>
      <c r="U275" s="52">
        <v>0.0</v>
      </c>
      <c r="V275" s="52">
        <v>0.0</v>
      </c>
      <c r="W275" s="52">
        <v>0.0</v>
      </c>
      <c r="X275" s="53">
        <v>0.0</v>
      </c>
      <c r="Y275" s="54" t="s">
        <v>668</v>
      </c>
      <c r="Z275" s="55" t="s">
        <v>1175</v>
      </c>
      <c r="AB275" s="14"/>
      <c r="AC275" s="14"/>
      <c r="AD275" s="14"/>
      <c r="AE275" s="14"/>
      <c r="AF275" s="14"/>
      <c r="AG275" s="14"/>
      <c r="AH275" s="14"/>
    </row>
    <row r="276">
      <c r="A276" s="8" t="s">
        <v>1283</v>
      </c>
      <c r="B276" s="8" t="s">
        <v>1284</v>
      </c>
      <c r="C276" s="8">
        <v>4.0</v>
      </c>
      <c r="D276" s="8" t="s">
        <v>36</v>
      </c>
      <c r="E276" s="8" t="s">
        <v>1147</v>
      </c>
      <c r="F276" s="9">
        <v>40973.0</v>
      </c>
      <c r="G276" s="9">
        <v>40978.0</v>
      </c>
      <c r="H276" s="8">
        <v>2012.0</v>
      </c>
      <c r="I276" s="8" t="s">
        <v>1285</v>
      </c>
      <c r="J276" s="8" t="s">
        <v>109</v>
      </c>
      <c r="K276" s="8" t="s">
        <v>81</v>
      </c>
      <c r="L276" s="8" t="s">
        <v>1291</v>
      </c>
      <c r="M276" s="10" t="s">
        <v>1287</v>
      </c>
      <c r="N276" s="11">
        <v>26314.0</v>
      </c>
      <c r="O276" s="12" t="s">
        <v>803</v>
      </c>
      <c r="P276" s="8">
        <v>2011.0</v>
      </c>
      <c r="Q276" s="56">
        <v>1.0</v>
      </c>
      <c r="R276" s="52">
        <v>0.0</v>
      </c>
      <c r="S276" s="52">
        <v>0.0</v>
      </c>
      <c r="T276" s="52">
        <v>0.0</v>
      </c>
      <c r="U276" s="52">
        <v>0.0</v>
      </c>
      <c r="V276" s="52">
        <v>0.0</v>
      </c>
      <c r="W276" s="52">
        <v>0.0</v>
      </c>
      <c r="X276" s="53">
        <v>0.0</v>
      </c>
      <c r="Y276" s="54" t="s">
        <v>1151</v>
      </c>
      <c r="Z276" s="55" t="s">
        <v>1158</v>
      </c>
      <c r="AB276" s="14"/>
      <c r="AC276" s="14"/>
      <c r="AD276" s="14"/>
      <c r="AE276" s="14"/>
      <c r="AF276" s="14"/>
      <c r="AG276" s="14"/>
      <c r="AH276" s="14"/>
    </row>
    <row r="277">
      <c r="A277" s="8" t="s">
        <v>1283</v>
      </c>
      <c r="B277" s="8" t="s">
        <v>1284</v>
      </c>
      <c r="C277" s="8">
        <v>5.0</v>
      </c>
      <c r="D277" s="8" t="s">
        <v>36</v>
      </c>
      <c r="E277" s="8" t="s">
        <v>1147</v>
      </c>
      <c r="F277" s="9">
        <v>41033.0</v>
      </c>
      <c r="G277" s="9">
        <v>41038.0</v>
      </c>
      <c r="H277" s="8">
        <v>2012.0</v>
      </c>
      <c r="I277" s="8" t="s">
        <v>1285</v>
      </c>
      <c r="J277" s="8" t="s">
        <v>109</v>
      </c>
      <c r="K277" s="8" t="s">
        <v>48</v>
      </c>
      <c r="L277" s="8" t="s">
        <v>1292</v>
      </c>
      <c r="M277" s="10" t="s">
        <v>1287</v>
      </c>
      <c r="N277" s="11">
        <v>106193.0</v>
      </c>
      <c r="O277" s="12" t="s">
        <v>803</v>
      </c>
      <c r="P277" s="8">
        <v>2011.0</v>
      </c>
      <c r="Q277" s="50">
        <v>0.0</v>
      </c>
      <c r="R277" s="51">
        <v>1.0</v>
      </c>
      <c r="S277" s="52">
        <v>0.0</v>
      </c>
      <c r="T277" s="52">
        <v>0.0</v>
      </c>
      <c r="U277" s="52">
        <v>0.0</v>
      </c>
      <c r="V277" s="52">
        <v>0.0</v>
      </c>
      <c r="W277" s="52">
        <v>0.0</v>
      </c>
      <c r="X277" s="53">
        <v>0.0</v>
      </c>
      <c r="Y277" s="54" t="s">
        <v>1151</v>
      </c>
      <c r="Z277" s="55" t="s">
        <v>1158</v>
      </c>
      <c r="AB277" s="14"/>
      <c r="AC277" s="14"/>
      <c r="AD277" s="14"/>
      <c r="AE277" s="14"/>
      <c r="AF277" s="14"/>
      <c r="AG277" s="14"/>
      <c r="AH277" s="14"/>
    </row>
    <row r="278">
      <c r="A278" s="8" t="s">
        <v>1283</v>
      </c>
      <c r="B278" s="8" t="s">
        <v>1284</v>
      </c>
      <c r="C278" s="8">
        <v>6.0</v>
      </c>
      <c r="D278" s="8" t="s">
        <v>36</v>
      </c>
      <c r="E278" s="8" t="s">
        <v>1147</v>
      </c>
      <c r="F278" s="9">
        <v>41048.0</v>
      </c>
      <c r="G278" s="9">
        <v>41051.0</v>
      </c>
      <c r="H278" s="8">
        <v>2012.0</v>
      </c>
      <c r="I278" s="8" t="s">
        <v>1285</v>
      </c>
      <c r="J278" s="8" t="s">
        <v>109</v>
      </c>
      <c r="K278" s="8" t="s">
        <v>81</v>
      </c>
      <c r="L278" s="8" t="s">
        <v>1293</v>
      </c>
      <c r="M278" s="10" t="s">
        <v>1287</v>
      </c>
      <c r="N278" s="11">
        <v>61032.0</v>
      </c>
      <c r="O278" s="12" t="s">
        <v>803</v>
      </c>
      <c r="P278" s="8">
        <v>2011.0</v>
      </c>
      <c r="Q278" s="50">
        <v>0.0</v>
      </c>
      <c r="R278" s="52">
        <v>0.0</v>
      </c>
      <c r="S278" s="52">
        <v>0.0</v>
      </c>
      <c r="T278" s="52">
        <v>0.0</v>
      </c>
      <c r="U278" s="52">
        <v>0.0</v>
      </c>
      <c r="V278" s="52">
        <v>0.0</v>
      </c>
      <c r="W278" s="52">
        <v>0.0</v>
      </c>
      <c r="X278" s="53">
        <v>0.0</v>
      </c>
      <c r="Y278" s="54" t="s">
        <v>668</v>
      </c>
      <c r="Z278" s="55" t="s">
        <v>1175</v>
      </c>
      <c r="AB278" s="14"/>
      <c r="AC278" s="14"/>
      <c r="AD278" s="14"/>
      <c r="AE278" s="14"/>
      <c r="AF278" s="14"/>
      <c r="AG278" s="14"/>
      <c r="AH278" s="14"/>
    </row>
    <row r="279">
      <c r="A279" s="8" t="s">
        <v>1283</v>
      </c>
      <c r="B279" s="8" t="s">
        <v>1284</v>
      </c>
      <c r="C279" s="8">
        <v>7.0</v>
      </c>
      <c r="D279" s="8" t="s">
        <v>36</v>
      </c>
      <c r="E279" s="8" t="s">
        <v>1147</v>
      </c>
      <c r="F279" s="9">
        <v>41075.0</v>
      </c>
      <c r="G279" s="9">
        <v>41079.0</v>
      </c>
      <c r="H279" s="8">
        <v>2012.0</v>
      </c>
      <c r="I279" s="8" t="s">
        <v>1285</v>
      </c>
      <c r="J279" s="8" t="s">
        <v>109</v>
      </c>
      <c r="K279" s="8" t="s">
        <v>48</v>
      </c>
      <c r="L279" s="8" t="s">
        <v>1294</v>
      </c>
      <c r="M279" s="10" t="s">
        <v>1287</v>
      </c>
      <c r="N279" s="11">
        <v>66063.0</v>
      </c>
      <c r="O279" s="12" t="s">
        <v>803</v>
      </c>
      <c r="P279" s="8">
        <v>2011.0</v>
      </c>
      <c r="Q279" s="50">
        <v>0.0</v>
      </c>
      <c r="R279" s="51">
        <v>1.0</v>
      </c>
      <c r="S279" s="52">
        <v>0.0</v>
      </c>
      <c r="T279" s="52">
        <v>0.0</v>
      </c>
      <c r="U279" s="52">
        <v>0.0</v>
      </c>
      <c r="V279" s="52">
        <v>0.0</v>
      </c>
      <c r="W279" s="52">
        <v>0.0</v>
      </c>
      <c r="X279" s="53">
        <v>0.0</v>
      </c>
      <c r="Y279" s="54" t="s">
        <v>1151</v>
      </c>
      <c r="Z279" s="55" t="s">
        <v>1158</v>
      </c>
      <c r="AB279" s="14"/>
      <c r="AC279" s="14"/>
      <c r="AD279" s="14"/>
      <c r="AE279" s="14"/>
      <c r="AF279" s="14"/>
      <c r="AG279" s="14"/>
      <c r="AH279" s="14"/>
    </row>
    <row r="280">
      <c r="A280" s="8" t="s">
        <v>1283</v>
      </c>
      <c r="B280" s="8" t="s">
        <v>1284</v>
      </c>
      <c r="C280" s="8">
        <v>8.0</v>
      </c>
      <c r="D280" s="8" t="s">
        <v>36</v>
      </c>
      <c r="E280" s="8" t="s">
        <v>1147</v>
      </c>
      <c r="F280" s="9">
        <v>41131.0</v>
      </c>
      <c r="G280" s="9">
        <v>41138.0</v>
      </c>
      <c r="H280" s="8">
        <v>2012.0</v>
      </c>
      <c r="I280" s="8" t="s">
        <v>1285</v>
      </c>
      <c r="J280" s="8" t="s">
        <v>109</v>
      </c>
      <c r="K280" s="8" t="s">
        <v>81</v>
      </c>
      <c r="L280" s="8" t="s">
        <v>1295</v>
      </c>
      <c r="M280" s="10" t="s">
        <v>1287</v>
      </c>
      <c r="N280" s="11">
        <v>100836.0</v>
      </c>
      <c r="O280" s="12" t="s">
        <v>803</v>
      </c>
      <c r="P280" s="8">
        <v>2011.0</v>
      </c>
      <c r="Q280" s="50">
        <v>0.0</v>
      </c>
      <c r="R280" s="51">
        <v>1.0</v>
      </c>
      <c r="S280" s="52">
        <v>0.0</v>
      </c>
      <c r="T280" s="52">
        <v>0.0</v>
      </c>
      <c r="U280" s="52">
        <v>0.0</v>
      </c>
      <c r="V280" s="52">
        <v>0.0</v>
      </c>
      <c r="W280" s="52">
        <v>0.0</v>
      </c>
      <c r="X280" s="53">
        <v>0.0</v>
      </c>
      <c r="Y280" s="54" t="s">
        <v>1151</v>
      </c>
      <c r="Z280" s="55" t="s">
        <v>1158</v>
      </c>
      <c r="AB280" s="14"/>
      <c r="AC280" s="14"/>
      <c r="AD280" s="14"/>
      <c r="AE280" s="14"/>
      <c r="AF280" s="14"/>
      <c r="AG280" s="14"/>
      <c r="AH280" s="14"/>
    </row>
    <row r="281">
      <c r="A281" s="8" t="s">
        <v>1283</v>
      </c>
      <c r="B281" s="8" t="s">
        <v>1284</v>
      </c>
      <c r="C281" s="8">
        <v>9.0</v>
      </c>
      <c r="D281" s="8" t="s">
        <v>36</v>
      </c>
      <c r="E281" s="8" t="s">
        <v>1147</v>
      </c>
      <c r="F281" s="9">
        <v>41197.0</v>
      </c>
      <c r="G281" s="9">
        <v>41204.0</v>
      </c>
      <c r="H281" s="8">
        <v>2012.0</v>
      </c>
      <c r="I281" s="8" t="s">
        <v>1285</v>
      </c>
      <c r="J281" s="8" t="s">
        <v>109</v>
      </c>
      <c r="K281" s="8" t="s">
        <v>48</v>
      </c>
      <c r="L281" s="8" t="s">
        <v>1296</v>
      </c>
      <c r="M281" s="10" t="s">
        <v>1287</v>
      </c>
      <c r="N281" s="11">
        <v>129503.0</v>
      </c>
      <c r="O281" s="12" t="s">
        <v>803</v>
      </c>
      <c r="P281" s="8">
        <v>2011.0</v>
      </c>
      <c r="Q281" s="50">
        <v>0.0</v>
      </c>
      <c r="R281" s="51">
        <v>1.0</v>
      </c>
      <c r="S281" s="52">
        <v>0.0</v>
      </c>
      <c r="T281" s="52">
        <v>0.0</v>
      </c>
      <c r="U281" s="52">
        <v>0.0</v>
      </c>
      <c r="V281" s="52">
        <v>0.0</v>
      </c>
      <c r="W281" s="52">
        <v>0.0</v>
      </c>
      <c r="X281" s="53">
        <v>0.0</v>
      </c>
      <c r="Y281" s="54" t="s">
        <v>1151</v>
      </c>
      <c r="Z281" s="55" t="s">
        <v>1158</v>
      </c>
      <c r="AB281" s="14"/>
      <c r="AC281" s="14"/>
      <c r="AD281" s="14"/>
      <c r="AE281" s="14"/>
      <c r="AF281" s="14"/>
      <c r="AG281" s="14"/>
      <c r="AH281" s="14"/>
    </row>
    <row r="282">
      <c r="A282" s="8" t="s">
        <v>1283</v>
      </c>
      <c r="B282" s="8" t="s">
        <v>1284</v>
      </c>
      <c r="C282" s="8">
        <v>10.0</v>
      </c>
      <c r="D282" s="8" t="s">
        <v>36</v>
      </c>
      <c r="E282" s="8" t="s">
        <v>1147</v>
      </c>
      <c r="F282" s="9">
        <v>41221.0</v>
      </c>
      <c r="G282" s="9">
        <v>41225.0</v>
      </c>
      <c r="H282" s="8">
        <v>2012.0</v>
      </c>
      <c r="I282" s="8" t="s">
        <v>1285</v>
      </c>
      <c r="J282" s="8" t="s">
        <v>109</v>
      </c>
      <c r="K282" s="8" t="s">
        <v>81</v>
      </c>
      <c r="L282" s="8" t="s">
        <v>1297</v>
      </c>
      <c r="M282" s="10" t="s">
        <v>1287</v>
      </c>
      <c r="N282" s="11">
        <v>27070.0</v>
      </c>
      <c r="O282" s="12" t="s">
        <v>803</v>
      </c>
      <c r="P282" s="8">
        <v>2011.0</v>
      </c>
      <c r="Q282" s="56">
        <v>1.0</v>
      </c>
      <c r="R282" s="52">
        <v>0.0</v>
      </c>
      <c r="S282" s="52">
        <v>0.0</v>
      </c>
      <c r="T282" s="52">
        <v>0.0</v>
      </c>
      <c r="U282" s="52">
        <v>0.0</v>
      </c>
      <c r="V282" s="52">
        <v>0.0</v>
      </c>
      <c r="W282" s="52">
        <v>0.0</v>
      </c>
      <c r="X282" s="53">
        <v>0.0</v>
      </c>
      <c r="Y282" s="54" t="s">
        <v>1151</v>
      </c>
      <c r="Z282" s="55" t="s">
        <v>1158</v>
      </c>
      <c r="AB282" s="14"/>
      <c r="AC282" s="14"/>
      <c r="AD282" s="14"/>
      <c r="AE282" s="14"/>
      <c r="AF282" s="14"/>
      <c r="AG282" s="14"/>
      <c r="AH282" s="14"/>
    </row>
    <row r="283">
      <c r="A283" s="8" t="s">
        <v>1283</v>
      </c>
      <c r="B283" s="8" t="s">
        <v>1284</v>
      </c>
      <c r="C283" s="8">
        <v>11.0</v>
      </c>
      <c r="D283" s="8" t="s">
        <v>36</v>
      </c>
      <c r="E283" s="8" t="s">
        <v>1147</v>
      </c>
      <c r="F283" s="9">
        <v>41229.0</v>
      </c>
      <c r="G283" s="9">
        <v>41233.0</v>
      </c>
      <c r="H283" s="8">
        <v>2012.0</v>
      </c>
      <c r="I283" s="8" t="s">
        <v>1285</v>
      </c>
      <c r="J283" s="8" t="s">
        <v>109</v>
      </c>
      <c r="K283" s="8" t="s">
        <v>81</v>
      </c>
      <c r="L283" s="8" t="s">
        <v>1298</v>
      </c>
      <c r="M283" s="10" t="s">
        <v>1287</v>
      </c>
      <c r="N283" s="11">
        <v>98685.0</v>
      </c>
      <c r="O283" s="12" t="s">
        <v>803</v>
      </c>
      <c r="P283" s="8">
        <v>2011.0</v>
      </c>
      <c r="Q283" s="50">
        <v>0.0</v>
      </c>
      <c r="R283" s="51">
        <v>1.0</v>
      </c>
      <c r="S283" s="52">
        <v>0.0</v>
      </c>
      <c r="T283" s="52">
        <v>0.0</v>
      </c>
      <c r="U283" s="52">
        <v>0.0</v>
      </c>
      <c r="V283" s="52">
        <v>0.0</v>
      </c>
      <c r="W283" s="52">
        <v>0.0</v>
      </c>
      <c r="X283" s="53">
        <v>0.0</v>
      </c>
      <c r="Y283" s="54" t="s">
        <v>1151</v>
      </c>
      <c r="Z283" s="55" t="s">
        <v>1158</v>
      </c>
      <c r="AB283" s="14"/>
      <c r="AC283" s="14"/>
      <c r="AD283" s="14"/>
      <c r="AE283" s="14"/>
      <c r="AF283" s="14"/>
      <c r="AG283" s="14"/>
      <c r="AH283" s="14"/>
    </row>
    <row r="284">
      <c r="A284" s="8" t="s">
        <v>1283</v>
      </c>
      <c r="B284" s="8" t="s">
        <v>1284</v>
      </c>
      <c r="C284" s="8">
        <v>12.0</v>
      </c>
      <c r="D284" s="8" t="s">
        <v>36</v>
      </c>
      <c r="E284" s="8" t="s">
        <v>1147</v>
      </c>
      <c r="F284" s="9">
        <v>41241.0</v>
      </c>
      <c r="G284" s="9">
        <v>41248.0</v>
      </c>
      <c r="H284" s="8">
        <v>2012.0</v>
      </c>
      <c r="I284" s="8" t="s">
        <v>1285</v>
      </c>
      <c r="J284" s="8" t="s">
        <v>109</v>
      </c>
      <c r="K284" s="8" t="s">
        <v>81</v>
      </c>
      <c r="L284" s="8" t="s">
        <v>1299</v>
      </c>
      <c r="M284" s="10" t="s">
        <v>1287</v>
      </c>
      <c r="N284" s="11">
        <v>50755.0</v>
      </c>
      <c r="O284" s="12" t="s">
        <v>803</v>
      </c>
      <c r="P284" s="8">
        <v>2011.0</v>
      </c>
      <c r="Q284" s="56">
        <v>1.0</v>
      </c>
      <c r="R284" s="52">
        <v>0.0</v>
      </c>
      <c r="S284" s="52">
        <v>0.0</v>
      </c>
      <c r="T284" s="52">
        <v>0.0</v>
      </c>
      <c r="U284" s="52">
        <v>0.0</v>
      </c>
      <c r="V284" s="52">
        <v>0.0</v>
      </c>
      <c r="W284" s="52">
        <v>0.0</v>
      </c>
      <c r="X284" s="53">
        <v>0.0</v>
      </c>
      <c r="Y284" s="54" t="s">
        <v>1151</v>
      </c>
      <c r="Z284" s="55" t="s">
        <v>1158</v>
      </c>
      <c r="AB284" s="14"/>
      <c r="AC284" s="14"/>
      <c r="AD284" s="14"/>
      <c r="AE284" s="14"/>
      <c r="AF284" s="14"/>
      <c r="AG284" s="14"/>
      <c r="AH284" s="14"/>
    </row>
    <row r="285">
      <c r="A285" s="8" t="s">
        <v>1300</v>
      </c>
      <c r="B285" s="8" t="s">
        <v>1301</v>
      </c>
      <c r="C285" s="8">
        <v>1.0</v>
      </c>
      <c r="D285" s="8" t="s">
        <v>36</v>
      </c>
      <c r="E285" s="8" t="s">
        <v>1147</v>
      </c>
      <c r="F285" s="9">
        <v>40866.0</v>
      </c>
      <c r="G285" s="9">
        <v>40871.0</v>
      </c>
      <c r="H285" s="8">
        <v>2011.0</v>
      </c>
      <c r="I285" s="8" t="s">
        <v>1302</v>
      </c>
      <c r="J285" s="8" t="s">
        <v>102</v>
      </c>
      <c r="K285" s="8" t="s">
        <v>48</v>
      </c>
      <c r="L285" s="8" t="s">
        <v>1303</v>
      </c>
      <c r="M285" s="10" t="s">
        <v>1304</v>
      </c>
      <c r="N285" s="11">
        <v>93638.0</v>
      </c>
      <c r="O285" s="12" t="s">
        <v>803</v>
      </c>
      <c r="P285" s="8">
        <v>2011.0</v>
      </c>
      <c r="Q285" s="50">
        <v>0.0</v>
      </c>
      <c r="R285" s="52">
        <v>0.0</v>
      </c>
      <c r="S285" s="52">
        <v>0.0</v>
      </c>
      <c r="T285" s="52">
        <v>0.0</v>
      </c>
      <c r="U285" s="52">
        <v>0.0</v>
      </c>
      <c r="V285" s="52">
        <v>0.0</v>
      </c>
      <c r="W285" s="52">
        <v>0.0</v>
      </c>
      <c r="X285" s="53">
        <v>0.0</v>
      </c>
      <c r="Y285" s="54" t="s">
        <v>668</v>
      </c>
      <c r="Z285" s="55" t="s">
        <v>1175</v>
      </c>
      <c r="AB285" s="14"/>
      <c r="AC285" s="14"/>
      <c r="AD285" s="14"/>
      <c r="AE285" s="14"/>
      <c r="AF285" s="14"/>
      <c r="AG285" s="14"/>
      <c r="AH285" s="14"/>
    </row>
    <row r="286">
      <c r="A286" s="8" t="s">
        <v>1300</v>
      </c>
      <c r="B286" s="8" t="s">
        <v>1301</v>
      </c>
      <c r="C286" s="8">
        <v>2.0</v>
      </c>
      <c r="D286" s="8" t="s">
        <v>36</v>
      </c>
      <c r="E286" s="8" t="s">
        <v>1147</v>
      </c>
      <c r="F286" s="9">
        <v>40893.0</v>
      </c>
      <c r="G286" s="9">
        <v>40897.0</v>
      </c>
      <c r="H286" s="8">
        <v>2011.0</v>
      </c>
      <c r="I286" s="8" t="s">
        <v>1302</v>
      </c>
      <c r="J286" s="8" t="s">
        <v>102</v>
      </c>
      <c r="K286" s="8" t="s">
        <v>48</v>
      </c>
      <c r="L286" s="8" t="s">
        <v>1305</v>
      </c>
      <c r="M286" s="10" t="s">
        <v>1304</v>
      </c>
      <c r="N286" s="11">
        <v>114836.0</v>
      </c>
      <c r="O286" s="12" t="s">
        <v>803</v>
      </c>
      <c r="P286" s="8">
        <v>2011.0</v>
      </c>
      <c r="Q286" s="50">
        <v>0.0</v>
      </c>
      <c r="R286" s="52">
        <v>0.0</v>
      </c>
      <c r="S286" s="52">
        <v>0.0</v>
      </c>
      <c r="T286" s="52">
        <v>0.0</v>
      </c>
      <c r="U286" s="52">
        <v>0.0</v>
      </c>
      <c r="V286" s="52">
        <v>0.0</v>
      </c>
      <c r="W286" s="52">
        <v>0.0</v>
      </c>
      <c r="X286" s="53">
        <v>0.0</v>
      </c>
      <c r="Y286" s="54" t="s">
        <v>668</v>
      </c>
      <c r="Z286" s="55" t="s">
        <v>1175</v>
      </c>
      <c r="AB286" s="14"/>
      <c r="AC286" s="14"/>
      <c r="AD286" s="14"/>
      <c r="AE286" s="14"/>
      <c r="AF286" s="14"/>
      <c r="AG286" s="14"/>
      <c r="AH286" s="14"/>
    </row>
    <row r="287">
      <c r="A287" s="8" t="s">
        <v>1300</v>
      </c>
      <c r="B287" s="8" t="s">
        <v>1301</v>
      </c>
      <c r="C287" s="8">
        <v>3.0</v>
      </c>
      <c r="D287" s="8" t="s">
        <v>36</v>
      </c>
      <c r="E287" s="8" t="s">
        <v>1147</v>
      </c>
      <c r="F287" s="9">
        <v>40942.0</v>
      </c>
      <c r="G287" s="9">
        <v>40946.0</v>
      </c>
      <c r="H287" s="8">
        <v>2012.0</v>
      </c>
      <c r="I287" s="8" t="s">
        <v>1302</v>
      </c>
      <c r="J287" s="8" t="s">
        <v>102</v>
      </c>
      <c r="K287" s="8" t="s">
        <v>48</v>
      </c>
      <c r="L287" s="8" t="s">
        <v>1306</v>
      </c>
      <c r="M287" s="10" t="s">
        <v>1304</v>
      </c>
      <c r="N287" s="11">
        <v>142199.0</v>
      </c>
      <c r="O287" s="12" t="s">
        <v>803</v>
      </c>
      <c r="P287" s="8">
        <v>2011.0</v>
      </c>
      <c r="Q287" s="56">
        <v>4.0E-5</v>
      </c>
      <c r="R287" s="51">
        <v>0.99978</v>
      </c>
      <c r="S287" s="52">
        <v>0.0</v>
      </c>
      <c r="T287" s="52">
        <v>0.0</v>
      </c>
      <c r="U287" s="51">
        <v>1.5E-4</v>
      </c>
      <c r="V287" s="51">
        <v>3.0E-5</v>
      </c>
      <c r="W287" s="52">
        <v>0.0</v>
      </c>
      <c r="X287" s="53">
        <v>0.0</v>
      </c>
      <c r="Y287" s="54" t="s">
        <v>1151</v>
      </c>
      <c r="Z287" s="55" t="s">
        <v>1152</v>
      </c>
      <c r="AB287" s="14"/>
      <c r="AC287" s="14"/>
      <c r="AD287" s="14"/>
      <c r="AE287" s="14"/>
      <c r="AF287" s="14"/>
      <c r="AG287" s="14"/>
      <c r="AH287" s="14"/>
    </row>
    <row r="288">
      <c r="A288" s="8" t="s">
        <v>1307</v>
      </c>
      <c r="B288" s="8" t="s">
        <v>1308</v>
      </c>
      <c r="C288" s="8">
        <v>1.0</v>
      </c>
      <c r="D288" s="8" t="s">
        <v>36</v>
      </c>
      <c r="E288" s="8" t="s">
        <v>1147</v>
      </c>
      <c r="F288" s="9">
        <v>40898.0</v>
      </c>
      <c r="G288" s="9">
        <v>40947.0</v>
      </c>
      <c r="H288" s="8">
        <v>2012.0</v>
      </c>
      <c r="I288" s="8" t="s">
        <v>1309</v>
      </c>
      <c r="J288" s="8" t="s">
        <v>377</v>
      </c>
      <c r="K288" s="8" t="s">
        <v>48</v>
      </c>
      <c r="L288" s="8" t="s">
        <v>1310</v>
      </c>
      <c r="M288" s="10" t="s">
        <v>1311</v>
      </c>
      <c r="N288" s="11">
        <v>163884.0</v>
      </c>
      <c r="O288" s="12" t="s">
        <v>803</v>
      </c>
      <c r="P288" s="8">
        <v>2011.0</v>
      </c>
      <c r="Q288" s="50">
        <v>0.0</v>
      </c>
      <c r="R288" s="51">
        <v>0.99682</v>
      </c>
      <c r="S288" s="52">
        <v>0.0</v>
      </c>
      <c r="T288" s="52">
        <v>0.0</v>
      </c>
      <c r="U288" s="52">
        <v>0.0</v>
      </c>
      <c r="V288" s="51">
        <v>0.00318</v>
      </c>
      <c r="W288" s="52">
        <v>0.0</v>
      </c>
      <c r="X288" s="53">
        <v>0.0</v>
      </c>
      <c r="Y288" s="54" t="s">
        <v>1151</v>
      </c>
      <c r="Z288" s="55" t="s">
        <v>1210</v>
      </c>
      <c r="AB288" s="14"/>
      <c r="AC288" s="14"/>
      <c r="AD288" s="14"/>
      <c r="AE288" s="14"/>
      <c r="AF288" s="14"/>
      <c r="AG288" s="14"/>
      <c r="AH288" s="14"/>
    </row>
    <row r="289">
      <c r="A289" s="8" t="s">
        <v>1312</v>
      </c>
      <c r="B289" s="8" t="s">
        <v>1313</v>
      </c>
      <c r="C289" s="8">
        <v>1.0</v>
      </c>
      <c r="D289" s="8" t="s">
        <v>36</v>
      </c>
      <c r="E289" s="8" t="s">
        <v>1147</v>
      </c>
      <c r="F289" s="9">
        <v>40980.0</v>
      </c>
      <c r="G289" s="9">
        <v>40991.0</v>
      </c>
      <c r="H289" s="8">
        <v>2012.0</v>
      </c>
      <c r="I289" s="8" t="s">
        <v>1314</v>
      </c>
      <c r="J289" s="8" t="s">
        <v>1188</v>
      </c>
      <c r="K289" s="8" t="s">
        <v>48</v>
      </c>
      <c r="L289" s="8" t="s">
        <v>1315</v>
      </c>
      <c r="M289" s="10" t="s">
        <v>1316</v>
      </c>
      <c r="N289" s="11">
        <v>232039.0</v>
      </c>
      <c r="O289" s="12" t="s">
        <v>803</v>
      </c>
      <c r="P289" s="8">
        <v>2011.0</v>
      </c>
      <c r="Q289" s="56">
        <v>1.4E-4</v>
      </c>
      <c r="R289" s="51">
        <v>0.99974</v>
      </c>
      <c r="S289" s="52">
        <v>0.0</v>
      </c>
      <c r="T289" s="52">
        <v>0.0</v>
      </c>
      <c r="U289" s="51">
        <v>1.2E-4</v>
      </c>
      <c r="V289" s="52">
        <v>0.0</v>
      </c>
      <c r="W289" s="52">
        <v>0.0</v>
      </c>
      <c r="X289" s="53">
        <v>0.0</v>
      </c>
      <c r="Y289" s="54" t="s">
        <v>1151</v>
      </c>
      <c r="Z289" s="55" t="s">
        <v>1210</v>
      </c>
      <c r="AB289" s="14"/>
      <c r="AC289" s="14"/>
      <c r="AD289" s="14"/>
      <c r="AE289" s="14"/>
      <c r="AF289" s="14"/>
      <c r="AG289" s="14"/>
      <c r="AH289" s="14"/>
    </row>
    <row r="290">
      <c r="A290" s="8" t="s">
        <v>1312</v>
      </c>
      <c r="B290" s="8" t="s">
        <v>1317</v>
      </c>
      <c r="C290" s="8">
        <v>2.0</v>
      </c>
      <c r="D290" s="8" t="s">
        <v>36</v>
      </c>
      <c r="E290" s="8" t="s">
        <v>1147</v>
      </c>
      <c r="F290" s="9">
        <v>41026.0</v>
      </c>
      <c r="G290" s="9">
        <v>41030.0</v>
      </c>
      <c r="H290" s="8">
        <v>2012.0</v>
      </c>
      <c r="I290" s="8" t="s">
        <v>1314</v>
      </c>
      <c r="J290" s="8" t="s">
        <v>1188</v>
      </c>
      <c r="K290" s="8" t="s">
        <v>48</v>
      </c>
      <c r="L290" s="8" t="s">
        <v>1318</v>
      </c>
      <c r="M290" s="10" t="s">
        <v>1316</v>
      </c>
      <c r="N290" s="11">
        <v>96833.0</v>
      </c>
      <c r="O290" s="12" t="s">
        <v>803</v>
      </c>
      <c r="P290" s="8">
        <v>2011.0</v>
      </c>
      <c r="Q290" s="56">
        <v>1.2E-4</v>
      </c>
      <c r="R290" s="51">
        <v>0.99973</v>
      </c>
      <c r="S290" s="52">
        <v>0.0</v>
      </c>
      <c r="T290" s="52">
        <v>0.0</v>
      </c>
      <c r="U290" s="51">
        <v>1.5E-4</v>
      </c>
      <c r="V290" s="52">
        <v>0.0</v>
      </c>
      <c r="W290" s="52">
        <v>0.0</v>
      </c>
      <c r="X290" s="53">
        <v>0.0</v>
      </c>
      <c r="Y290" s="54" t="s">
        <v>1151</v>
      </c>
      <c r="Z290" s="55" t="s">
        <v>1152</v>
      </c>
      <c r="AB290" s="14"/>
      <c r="AC290" s="14"/>
      <c r="AD290" s="14"/>
      <c r="AE290" s="14"/>
      <c r="AF290" s="14"/>
      <c r="AG290" s="14"/>
      <c r="AH290" s="14"/>
    </row>
    <row r="291">
      <c r="A291" s="8" t="s">
        <v>1319</v>
      </c>
      <c r="B291" s="8" t="s">
        <v>1320</v>
      </c>
      <c r="C291" s="8">
        <v>1.0</v>
      </c>
      <c r="D291" s="8" t="s">
        <v>36</v>
      </c>
      <c r="E291" s="8" t="s">
        <v>1147</v>
      </c>
      <c r="F291" s="9">
        <v>40990.0</v>
      </c>
      <c r="G291" s="9">
        <v>41009.0</v>
      </c>
      <c r="H291" s="8">
        <v>2012.0</v>
      </c>
      <c r="I291" s="8" t="s">
        <v>1321</v>
      </c>
      <c r="J291" s="8" t="s">
        <v>1188</v>
      </c>
      <c r="K291" s="8" t="s">
        <v>48</v>
      </c>
      <c r="L291" s="8" t="s">
        <v>1322</v>
      </c>
      <c r="M291" s="10" t="s">
        <v>1323</v>
      </c>
      <c r="N291" s="11">
        <v>72653.0</v>
      </c>
      <c r="O291" s="12" t="s">
        <v>803</v>
      </c>
      <c r="P291" s="8">
        <v>2011.0</v>
      </c>
      <c r="Q291" s="56">
        <v>0.46809</v>
      </c>
      <c r="R291" s="51">
        <v>0.467</v>
      </c>
      <c r="S291" s="52">
        <v>0.0</v>
      </c>
      <c r="T291" s="52">
        <v>0.0</v>
      </c>
      <c r="U291" s="51">
        <v>0.03837</v>
      </c>
      <c r="V291" s="51">
        <v>0.02654</v>
      </c>
      <c r="W291" s="52">
        <v>0.0</v>
      </c>
      <c r="X291" s="53">
        <v>0.0</v>
      </c>
      <c r="Y291" s="54" t="s">
        <v>1151</v>
      </c>
      <c r="Z291" s="55" t="s">
        <v>1210</v>
      </c>
      <c r="AB291" s="14"/>
      <c r="AC291" s="14"/>
      <c r="AD291" s="14"/>
      <c r="AE291" s="14"/>
      <c r="AF291" s="14"/>
      <c r="AG291" s="14"/>
      <c r="AH291" s="14"/>
    </row>
    <row r="292">
      <c r="A292" s="8" t="s">
        <v>1324</v>
      </c>
      <c r="B292" s="8" t="s">
        <v>1325</v>
      </c>
      <c r="C292" s="8">
        <v>2.0</v>
      </c>
      <c r="D292" s="8" t="s">
        <v>36</v>
      </c>
      <c r="E292" s="8" t="s">
        <v>1147</v>
      </c>
      <c r="F292" s="9">
        <v>41051.0</v>
      </c>
      <c r="G292" s="9">
        <v>41142.0</v>
      </c>
      <c r="H292" s="8">
        <v>2012.0</v>
      </c>
      <c r="I292" s="8" t="s">
        <v>1326</v>
      </c>
      <c r="J292" s="8" t="s">
        <v>144</v>
      </c>
      <c r="K292" s="8" t="s">
        <v>60</v>
      </c>
      <c r="L292" s="8" t="s">
        <v>1327</v>
      </c>
      <c r="M292" s="10" t="s">
        <v>1328</v>
      </c>
      <c r="N292" s="11">
        <v>117496.0</v>
      </c>
      <c r="O292" s="12" t="s">
        <v>803</v>
      </c>
      <c r="P292" s="8">
        <v>2011.0</v>
      </c>
      <c r="Q292" s="56">
        <v>1.0</v>
      </c>
      <c r="R292" s="52">
        <v>0.0</v>
      </c>
      <c r="S292" s="52">
        <v>0.0</v>
      </c>
      <c r="T292" s="52">
        <v>0.0</v>
      </c>
      <c r="U292" s="52">
        <v>0.0</v>
      </c>
      <c r="V292" s="52">
        <v>0.0</v>
      </c>
      <c r="W292" s="52">
        <v>0.0</v>
      </c>
      <c r="X292" s="53">
        <v>0.0</v>
      </c>
      <c r="Y292" s="54" t="s">
        <v>1151</v>
      </c>
      <c r="Z292" s="55" t="s">
        <v>1158</v>
      </c>
      <c r="AB292" s="14"/>
      <c r="AC292" s="14"/>
      <c r="AD292" s="14"/>
      <c r="AE292" s="14"/>
      <c r="AF292" s="14"/>
      <c r="AG292" s="14"/>
      <c r="AH292" s="14"/>
    </row>
    <row r="293">
      <c r="A293" s="8" t="s">
        <v>1324</v>
      </c>
      <c r="B293" s="8" t="s">
        <v>1329</v>
      </c>
      <c r="C293" s="8">
        <v>1.0</v>
      </c>
      <c r="D293" s="8" t="s">
        <v>36</v>
      </c>
      <c r="E293" s="8" t="s">
        <v>1147</v>
      </c>
      <c r="F293" s="9">
        <v>41013.0</v>
      </c>
      <c r="G293" s="9">
        <v>41025.0</v>
      </c>
      <c r="H293" s="8">
        <v>2012.0</v>
      </c>
      <c r="I293" s="8" t="s">
        <v>1326</v>
      </c>
      <c r="J293" s="8" t="s">
        <v>144</v>
      </c>
      <c r="K293" s="8" t="s">
        <v>48</v>
      </c>
      <c r="L293" s="8" t="s">
        <v>1330</v>
      </c>
      <c r="M293" s="10" t="s">
        <v>1328</v>
      </c>
      <c r="N293" s="11">
        <v>54497.0</v>
      </c>
      <c r="O293" s="12" t="s">
        <v>803</v>
      </c>
      <c r="P293" s="8">
        <v>2011.0</v>
      </c>
      <c r="Q293" s="56">
        <v>1.0</v>
      </c>
      <c r="R293" s="52">
        <v>0.0</v>
      </c>
      <c r="S293" s="52">
        <v>0.0</v>
      </c>
      <c r="T293" s="52">
        <v>0.0</v>
      </c>
      <c r="U293" s="52">
        <v>0.0</v>
      </c>
      <c r="V293" s="52">
        <v>0.0</v>
      </c>
      <c r="W293" s="52">
        <v>0.0</v>
      </c>
      <c r="X293" s="53">
        <v>0.0</v>
      </c>
      <c r="Y293" s="54" t="s">
        <v>1151</v>
      </c>
      <c r="Z293" s="55" t="s">
        <v>1158</v>
      </c>
      <c r="AB293" s="14"/>
      <c r="AC293" s="14"/>
      <c r="AD293" s="14"/>
      <c r="AE293" s="14"/>
      <c r="AF293" s="14"/>
      <c r="AG293" s="14"/>
      <c r="AH293" s="14"/>
    </row>
    <row r="294">
      <c r="A294" s="8" t="s">
        <v>1331</v>
      </c>
      <c r="B294" s="8" t="s">
        <v>1332</v>
      </c>
      <c r="C294" s="8">
        <v>1.0</v>
      </c>
      <c r="D294" s="8" t="s">
        <v>36</v>
      </c>
      <c r="E294" s="8" t="s">
        <v>1147</v>
      </c>
      <c r="F294" s="9">
        <v>41085.0</v>
      </c>
      <c r="G294" s="9">
        <v>41094.0</v>
      </c>
      <c r="H294" s="8">
        <v>2012.0</v>
      </c>
      <c r="I294" s="8" t="s">
        <v>1333</v>
      </c>
      <c r="J294" s="8" t="s">
        <v>693</v>
      </c>
      <c r="K294" s="8" t="s">
        <v>48</v>
      </c>
      <c r="L294" s="8" t="s">
        <v>1334</v>
      </c>
      <c r="M294" s="10" t="s">
        <v>1335</v>
      </c>
      <c r="N294" s="11">
        <v>45156.0</v>
      </c>
      <c r="O294" s="12" t="s">
        <v>803</v>
      </c>
      <c r="P294" s="8">
        <v>2011.0</v>
      </c>
      <c r="Q294" s="56">
        <v>0.15856</v>
      </c>
      <c r="R294" s="51">
        <v>0.8394</v>
      </c>
      <c r="S294" s="52">
        <v>0.0</v>
      </c>
      <c r="T294" s="52">
        <v>0.0</v>
      </c>
      <c r="U294" s="51">
        <v>1.4E-4</v>
      </c>
      <c r="V294" s="51">
        <v>0.0019</v>
      </c>
      <c r="W294" s="52">
        <v>0.0</v>
      </c>
      <c r="X294" s="53">
        <v>0.0</v>
      </c>
      <c r="Y294" s="54" t="s">
        <v>1151</v>
      </c>
      <c r="Z294" s="55" t="s">
        <v>1210</v>
      </c>
      <c r="AB294" s="14"/>
      <c r="AC294" s="14"/>
      <c r="AD294" s="14"/>
      <c r="AE294" s="14"/>
      <c r="AF294" s="14"/>
      <c r="AG294" s="14"/>
      <c r="AH294" s="14"/>
    </row>
    <row r="295">
      <c r="A295" s="8" t="s">
        <v>1336</v>
      </c>
      <c r="B295" s="8" t="s">
        <v>1337</v>
      </c>
      <c r="C295" s="8">
        <v>1.0</v>
      </c>
      <c r="D295" s="8" t="s">
        <v>36</v>
      </c>
      <c r="E295" s="8" t="s">
        <v>1147</v>
      </c>
      <c r="F295" s="9">
        <v>41081.0</v>
      </c>
      <c r="G295" s="9">
        <v>41228.0</v>
      </c>
      <c r="H295" s="8">
        <v>2012.0</v>
      </c>
      <c r="I295" s="8" t="s">
        <v>1338</v>
      </c>
      <c r="J295" s="8" t="s">
        <v>383</v>
      </c>
      <c r="K295" s="8" t="s">
        <v>81</v>
      </c>
      <c r="L295" s="8" t="s">
        <v>1339</v>
      </c>
      <c r="M295" s="10" t="s">
        <v>1340</v>
      </c>
      <c r="N295" s="11">
        <v>120267.0</v>
      </c>
      <c r="O295" s="12" t="s">
        <v>803</v>
      </c>
      <c r="P295" s="8">
        <v>2011.0</v>
      </c>
      <c r="Q295" s="50">
        <v>0.0</v>
      </c>
      <c r="R295" s="52">
        <v>0.0</v>
      </c>
      <c r="S295" s="52">
        <v>0.0</v>
      </c>
      <c r="T295" s="52">
        <v>0.0</v>
      </c>
      <c r="U295" s="52">
        <v>0.0</v>
      </c>
      <c r="V295" s="52">
        <v>0.0</v>
      </c>
      <c r="W295" s="52">
        <v>0.0</v>
      </c>
      <c r="X295" s="53">
        <v>0.0</v>
      </c>
      <c r="Y295" s="54" t="s">
        <v>668</v>
      </c>
      <c r="Z295" s="55" t="s">
        <v>1175</v>
      </c>
      <c r="AB295" s="14"/>
      <c r="AC295" s="14"/>
      <c r="AD295" s="14"/>
      <c r="AE295" s="14"/>
      <c r="AF295" s="14"/>
      <c r="AG295" s="14"/>
      <c r="AH295" s="14"/>
    </row>
    <row r="296">
      <c r="A296" s="8" t="s">
        <v>1336</v>
      </c>
      <c r="B296" s="8" t="s">
        <v>1337</v>
      </c>
      <c r="C296" s="8">
        <v>2.0</v>
      </c>
      <c r="D296" s="8" t="s">
        <v>36</v>
      </c>
      <c r="E296" s="8" t="s">
        <v>1147</v>
      </c>
      <c r="F296" s="9">
        <v>41240.0</v>
      </c>
      <c r="G296" s="9">
        <v>41251.0</v>
      </c>
      <c r="H296" s="8">
        <v>2012.0</v>
      </c>
      <c r="I296" s="8" t="s">
        <v>1338</v>
      </c>
      <c r="J296" s="8" t="s">
        <v>383</v>
      </c>
      <c r="K296" s="8" t="s">
        <v>81</v>
      </c>
      <c r="L296" s="8" t="s">
        <v>1341</v>
      </c>
      <c r="M296" s="10" t="s">
        <v>1340</v>
      </c>
      <c r="N296" s="11">
        <v>36615.0</v>
      </c>
      <c r="O296" s="12" t="s">
        <v>803</v>
      </c>
      <c r="P296" s="8">
        <v>2011.0</v>
      </c>
      <c r="Q296" s="50">
        <v>0.0</v>
      </c>
      <c r="R296" s="52">
        <v>0.0</v>
      </c>
      <c r="S296" s="52">
        <v>0.0</v>
      </c>
      <c r="T296" s="52">
        <v>0.0</v>
      </c>
      <c r="U296" s="52">
        <v>0.0</v>
      </c>
      <c r="V296" s="52">
        <v>0.0</v>
      </c>
      <c r="W296" s="52">
        <v>0.0</v>
      </c>
      <c r="X296" s="53">
        <v>0.0</v>
      </c>
      <c r="Y296" s="54" t="s">
        <v>668</v>
      </c>
      <c r="Z296" s="55" t="s">
        <v>1175</v>
      </c>
      <c r="AB296" s="14"/>
      <c r="AC296" s="14"/>
      <c r="AD296" s="14"/>
      <c r="AE296" s="14"/>
      <c r="AF296" s="14"/>
      <c r="AG296" s="14"/>
      <c r="AH296" s="14"/>
    </row>
    <row r="297">
      <c r="A297" s="8" t="s">
        <v>1342</v>
      </c>
      <c r="B297" s="8" t="s">
        <v>1343</v>
      </c>
      <c r="C297" s="8">
        <v>1.0</v>
      </c>
      <c r="D297" s="8" t="s">
        <v>36</v>
      </c>
      <c r="E297" s="8" t="s">
        <v>1147</v>
      </c>
      <c r="F297" s="9">
        <v>41248.0</v>
      </c>
      <c r="G297" s="9">
        <v>41254.0</v>
      </c>
      <c r="H297" s="8">
        <v>2012.0</v>
      </c>
      <c r="I297" s="8" t="s">
        <v>1344</v>
      </c>
      <c r="J297" s="8" t="s">
        <v>693</v>
      </c>
      <c r="K297" s="8" t="s">
        <v>48</v>
      </c>
      <c r="L297" s="8" t="s">
        <v>1345</v>
      </c>
      <c r="M297" s="10" t="s">
        <v>1346</v>
      </c>
      <c r="N297" s="11">
        <v>80612.0</v>
      </c>
      <c r="O297" s="12" t="s">
        <v>803</v>
      </c>
      <c r="P297" s="8">
        <v>2011.0</v>
      </c>
      <c r="Q297" s="50">
        <v>0.0</v>
      </c>
      <c r="R297" s="51">
        <v>1.0</v>
      </c>
      <c r="S297" s="52">
        <v>0.0</v>
      </c>
      <c r="T297" s="52">
        <v>0.0</v>
      </c>
      <c r="U297" s="52">
        <v>0.0</v>
      </c>
      <c r="V297" s="52">
        <v>0.0</v>
      </c>
      <c r="W297" s="52">
        <v>0.0</v>
      </c>
      <c r="X297" s="53">
        <v>0.0</v>
      </c>
      <c r="Y297" s="54" t="s">
        <v>1151</v>
      </c>
      <c r="Z297" s="55" t="s">
        <v>1152</v>
      </c>
      <c r="AB297" s="14"/>
      <c r="AC297" s="14"/>
      <c r="AD297" s="14"/>
      <c r="AE297" s="14"/>
      <c r="AF297" s="14"/>
      <c r="AG297" s="14"/>
      <c r="AH297" s="14"/>
    </row>
    <row r="298">
      <c r="A298" s="8" t="s">
        <v>1347</v>
      </c>
      <c r="B298" s="8" t="s">
        <v>1348</v>
      </c>
      <c r="C298" s="8">
        <v>2.0</v>
      </c>
      <c r="D298" s="8" t="s">
        <v>36</v>
      </c>
      <c r="E298" s="8" t="s">
        <v>1147</v>
      </c>
      <c r="F298" s="9">
        <v>41381.0</v>
      </c>
      <c r="G298" s="9">
        <v>41386.0</v>
      </c>
      <c r="H298" s="8">
        <v>2013.0</v>
      </c>
      <c r="I298" s="8" t="s">
        <v>1349</v>
      </c>
      <c r="J298" s="8" t="s">
        <v>109</v>
      </c>
      <c r="K298" s="8" t="s">
        <v>60</v>
      </c>
      <c r="L298" s="8" t="s">
        <v>1350</v>
      </c>
      <c r="M298" s="10" t="s">
        <v>1351</v>
      </c>
      <c r="N298" s="11">
        <v>95469.0</v>
      </c>
      <c r="O298" s="12" t="s">
        <v>803</v>
      </c>
      <c r="P298" s="8">
        <v>2011.0</v>
      </c>
      <c r="Q298" s="50">
        <v>0.0</v>
      </c>
      <c r="R298" s="51">
        <v>1.0</v>
      </c>
      <c r="S298" s="52">
        <v>0.0</v>
      </c>
      <c r="T298" s="52">
        <v>0.0</v>
      </c>
      <c r="U298" s="52">
        <v>0.0</v>
      </c>
      <c r="V298" s="52">
        <v>0.0</v>
      </c>
      <c r="W298" s="52">
        <v>0.0</v>
      </c>
      <c r="X298" s="53">
        <v>0.0</v>
      </c>
      <c r="Y298" s="54" t="s">
        <v>1151</v>
      </c>
      <c r="Z298" s="55" t="s">
        <v>1158</v>
      </c>
      <c r="AB298" s="14"/>
      <c r="AC298" s="14"/>
      <c r="AD298" s="14"/>
      <c r="AE298" s="14"/>
      <c r="AF298" s="14"/>
      <c r="AG298" s="14"/>
      <c r="AH298" s="14"/>
    </row>
    <row r="299">
      <c r="A299" s="8" t="s">
        <v>1347</v>
      </c>
      <c r="B299" s="8" t="s">
        <v>1348</v>
      </c>
      <c r="C299" s="8">
        <v>4.0</v>
      </c>
      <c r="D299" s="8" t="s">
        <v>36</v>
      </c>
      <c r="E299" s="8" t="s">
        <v>1147</v>
      </c>
      <c r="F299" s="9">
        <v>41404.0</v>
      </c>
      <c r="G299" s="9">
        <v>41411.0</v>
      </c>
      <c r="H299" s="8">
        <v>2013.0</v>
      </c>
      <c r="I299" s="8" t="s">
        <v>1349</v>
      </c>
      <c r="J299" s="8" t="s">
        <v>109</v>
      </c>
      <c r="K299" s="8" t="s">
        <v>60</v>
      </c>
      <c r="L299" s="8" t="s">
        <v>1352</v>
      </c>
      <c r="M299" s="10" t="s">
        <v>1351</v>
      </c>
      <c r="N299" s="11">
        <v>130010.0</v>
      </c>
      <c r="O299" s="12" t="s">
        <v>803</v>
      </c>
      <c r="P299" s="8">
        <v>2011.0</v>
      </c>
      <c r="Q299" s="50">
        <v>0.0</v>
      </c>
      <c r="R299" s="51">
        <v>1.0</v>
      </c>
      <c r="S299" s="52">
        <v>0.0</v>
      </c>
      <c r="T299" s="52">
        <v>0.0</v>
      </c>
      <c r="U299" s="52">
        <v>0.0</v>
      </c>
      <c r="V299" s="52">
        <v>0.0</v>
      </c>
      <c r="W299" s="52">
        <v>0.0</v>
      </c>
      <c r="X299" s="53">
        <v>0.0</v>
      </c>
      <c r="Y299" s="54" t="s">
        <v>1151</v>
      </c>
      <c r="Z299" s="55" t="s">
        <v>1158</v>
      </c>
      <c r="AB299" s="14"/>
      <c r="AC299" s="14"/>
      <c r="AD299" s="14"/>
      <c r="AE299" s="14"/>
      <c r="AF299" s="14"/>
      <c r="AG299" s="14"/>
      <c r="AH299" s="14"/>
    </row>
    <row r="300">
      <c r="A300" s="8" t="s">
        <v>1347</v>
      </c>
      <c r="B300" s="8" t="s">
        <v>1348</v>
      </c>
      <c r="C300" s="8">
        <v>3.0</v>
      </c>
      <c r="D300" s="8" t="s">
        <v>36</v>
      </c>
      <c r="E300" s="8" t="s">
        <v>1147</v>
      </c>
      <c r="F300" s="9">
        <v>41465.0</v>
      </c>
      <c r="G300" s="9">
        <v>41471.0</v>
      </c>
      <c r="H300" s="8">
        <v>2013.0</v>
      </c>
      <c r="I300" s="8" t="s">
        <v>1349</v>
      </c>
      <c r="J300" s="8" t="s">
        <v>109</v>
      </c>
      <c r="K300" s="8" t="s">
        <v>60</v>
      </c>
      <c r="L300" s="8" t="s">
        <v>1353</v>
      </c>
      <c r="M300" s="10" t="s">
        <v>1351</v>
      </c>
      <c r="N300" s="11">
        <v>100189.0</v>
      </c>
      <c r="O300" s="12" t="s">
        <v>803</v>
      </c>
      <c r="P300" s="8">
        <v>2011.0</v>
      </c>
      <c r="Q300" s="50">
        <v>0.0</v>
      </c>
      <c r="R300" s="51">
        <v>1.0</v>
      </c>
      <c r="S300" s="52">
        <v>0.0</v>
      </c>
      <c r="T300" s="52">
        <v>0.0</v>
      </c>
      <c r="U300" s="52">
        <v>0.0</v>
      </c>
      <c r="V300" s="52">
        <v>0.0</v>
      </c>
      <c r="W300" s="52">
        <v>0.0</v>
      </c>
      <c r="X300" s="53">
        <v>0.0</v>
      </c>
      <c r="Y300" s="54" t="s">
        <v>1151</v>
      </c>
      <c r="Z300" s="55" t="s">
        <v>1158</v>
      </c>
      <c r="AB300" s="14"/>
      <c r="AC300" s="14"/>
      <c r="AD300" s="14"/>
      <c r="AE300" s="14"/>
      <c r="AF300" s="14"/>
      <c r="AG300" s="14"/>
      <c r="AH300" s="14"/>
    </row>
    <row r="301">
      <c r="A301" s="8" t="s">
        <v>1347</v>
      </c>
      <c r="B301" s="8" t="s">
        <v>1348</v>
      </c>
      <c r="C301" s="8">
        <v>4.0</v>
      </c>
      <c r="D301" s="8" t="s">
        <v>36</v>
      </c>
      <c r="E301" s="8" t="s">
        <v>1147</v>
      </c>
      <c r="F301" s="9">
        <v>41641.0</v>
      </c>
      <c r="G301" s="9">
        <v>41649.0</v>
      </c>
      <c r="H301" s="8">
        <v>2014.0</v>
      </c>
      <c r="I301" s="8" t="s">
        <v>1349</v>
      </c>
      <c r="J301" s="8" t="s">
        <v>109</v>
      </c>
      <c r="K301" s="8" t="s">
        <v>48</v>
      </c>
      <c r="L301" s="8" t="s">
        <v>1354</v>
      </c>
      <c r="M301" s="10" t="s">
        <v>1351</v>
      </c>
      <c r="N301" s="11">
        <v>41061.0</v>
      </c>
      <c r="O301" s="12" t="s">
        <v>803</v>
      </c>
      <c r="P301" s="8">
        <v>2011.0</v>
      </c>
      <c r="Q301" s="50">
        <v>0.0</v>
      </c>
      <c r="R301" s="52">
        <v>0.0</v>
      </c>
      <c r="S301" s="52">
        <v>0.0</v>
      </c>
      <c r="T301" s="52">
        <v>0.0</v>
      </c>
      <c r="U301" s="52">
        <v>0.0</v>
      </c>
      <c r="V301" s="52">
        <v>0.0</v>
      </c>
      <c r="W301" s="52">
        <v>0.0</v>
      </c>
      <c r="X301" s="53">
        <v>0.0</v>
      </c>
      <c r="Y301" s="54" t="s">
        <v>668</v>
      </c>
      <c r="Z301" s="55" t="s">
        <v>1175</v>
      </c>
      <c r="AB301" s="14"/>
      <c r="AC301" s="14"/>
      <c r="AD301" s="14"/>
      <c r="AE301" s="14"/>
      <c r="AF301" s="14"/>
      <c r="AG301" s="14"/>
      <c r="AH301" s="14"/>
    </row>
    <row r="302">
      <c r="A302" s="8" t="s">
        <v>1355</v>
      </c>
      <c r="B302" s="8" t="s">
        <v>1356</v>
      </c>
      <c r="C302" s="8">
        <v>1.0</v>
      </c>
      <c r="D302" s="8" t="s">
        <v>36</v>
      </c>
      <c r="E302" s="8" t="s">
        <v>1147</v>
      </c>
      <c r="F302" s="9">
        <v>41425.0</v>
      </c>
      <c r="G302" s="9">
        <v>41430.0</v>
      </c>
      <c r="H302" s="8">
        <v>2013.0</v>
      </c>
      <c r="I302" s="8" t="s">
        <v>1357</v>
      </c>
      <c r="J302" s="8" t="s">
        <v>693</v>
      </c>
      <c r="K302" s="8" t="s">
        <v>48</v>
      </c>
      <c r="L302" s="8" t="s">
        <v>1358</v>
      </c>
      <c r="M302" s="10" t="s">
        <v>1359</v>
      </c>
      <c r="N302" s="11">
        <v>53490.0</v>
      </c>
      <c r="O302" s="12" t="s">
        <v>803</v>
      </c>
      <c r="P302" s="8">
        <v>2011.0</v>
      </c>
      <c r="Q302" s="56">
        <v>2.6E-4</v>
      </c>
      <c r="R302" s="51">
        <v>0.99957</v>
      </c>
      <c r="S302" s="52">
        <v>0.0</v>
      </c>
      <c r="T302" s="52">
        <v>0.0</v>
      </c>
      <c r="U302" s="52">
        <v>0.0</v>
      </c>
      <c r="V302" s="51">
        <v>1.8E-4</v>
      </c>
      <c r="W302" s="52">
        <v>0.0</v>
      </c>
      <c r="X302" s="53">
        <v>0.0</v>
      </c>
      <c r="Y302" s="54" t="s">
        <v>1151</v>
      </c>
      <c r="Z302" s="55" t="s">
        <v>1152</v>
      </c>
      <c r="AB302" s="14"/>
      <c r="AC302" s="14"/>
      <c r="AD302" s="14"/>
      <c r="AE302" s="14"/>
      <c r="AF302" s="14"/>
      <c r="AG302" s="14"/>
      <c r="AH302" s="14"/>
    </row>
    <row r="303">
      <c r="A303" s="8" t="s">
        <v>1360</v>
      </c>
      <c r="B303" s="8" t="s">
        <v>1361</v>
      </c>
      <c r="C303" s="8">
        <v>1.0</v>
      </c>
      <c r="D303" s="8" t="s">
        <v>36</v>
      </c>
      <c r="E303" s="8" t="s">
        <v>1147</v>
      </c>
      <c r="F303" s="9">
        <v>41467.0</v>
      </c>
      <c r="G303" s="9">
        <v>41481.0</v>
      </c>
      <c r="H303" s="8">
        <v>2013.0</v>
      </c>
      <c r="I303" s="8" t="s">
        <v>1362</v>
      </c>
      <c r="J303" s="8" t="s">
        <v>377</v>
      </c>
      <c r="K303" s="8" t="s">
        <v>48</v>
      </c>
      <c r="L303" s="8" t="s">
        <v>1363</v>
      </c>
      <c r="M303" s="10" t="s">
        <v>1364</v>
      </c>
      <c r="N303" s="11">
        <v>108627.0</v>
      </c>
      <c r="O303" s="12" t="s">
        <v>803</v>
      </c>
      <c r="P303" s="8">
        <v>2011.0</v>
      </c>
      <c r="Q303" s="56">
        <v>2.6E-4</v>
      </c>
      <c r="R303" s="51">
        <v>0.99957</v>
      </c>
      <c r="S303" s="52">
        <v>0.0</v>
      </c>
      <c r="T303" s="52">
        <v>0.0</v>
      </c>
      <c r="U303" s="52">
        <v>0.0</v>
      </c>
      <c r="V303" s="52">
        <v>0.0</v>
      </c>
      <c r="W303" s="52">
        <v>0.0</v>
      </c>
      <c r="X303" s="53">
        <v>0.0</v>
      </c>
      <c r="Y303" s="54" t="s">
        <v>1151</v>
      </c>
      <c r="Z303" s="20" t="s">
        <v>1158</v>
      </c>
      <c r="AB303" s="14"/>
      <c r="AC303" s="14"/>
      <c r="AD303" s="14"/>
      <c r="AE303" s="14"/>
      <c r="AF303" s="14"/>
      <c r="AG303" s="14"/>
      <c r="AH303" s="14"/>
    </row>
    <row r="304">
      <c r="M304" s="59"/>
      <c r="O304" s="60"/>
      <c r="Q304" s="13"/>
      <c r="R304" s="14"/>
      <c r="S304" s="14"/>
      <c r="T304" s="14"/>
      <c r="U304" s="14"/>
      <c r="V304" s="14"/>
      <c r="W304" s="14"/>
      <c r="X304" s="15"/>
      <c r="Y304" s="14"/>
      <c r="Z304" s="16"/>
      <c r="AB304" s="14"/>
      <c r="AC304" s="14"/>
      <c r="AD304" s="14"/>
      <c r="AE304" s="14"/>
      <c r="AF304" s="14"/>
      <c r="AG304" s="14"/>
      <c r="AH304" s="14"/>
    </row>
    <row r="305">
      <c r="M305" s="59"/>
      <c r="O305" s="60"/>
      <c r="Q305" s="13"/>
      <c r="R305" s="14"/>
      <c r="S305" s="14"/>
      <c r="T305" s="14"/>
      <c r="U305" s="14"/>
      <c r="V305" s="14"/>
      <c r="W305" s="14"/>
      <c r="X305" s="15"/>
      <c r="Y305" s="14"/>
      <c r="Z305" s="16"/>
      <c r="AA305" s="14"/>
      <c r="AB305" s="14"/>
      <c r="AC305" s="14"/>
      <c r="AD305" s="14"/>
      <c r="AE305" s="14"/>
      <c r="AF305" s="14"/>
      <c r="AG305" s="14"/>
      <c r="AH305" s="14"/>
    </row>
    <row r="306">
      <c r="M306" s="59"/>
      <c r="O306" s="60"/>
      <c r="Q306" s="13"/>
      <c r="R306" s="14"/>
      <c r="S306" s="14"/>
      <c r="T306" s="14"/>
      <c r="U306" s="14"/>
      <c r="V306" s="14"/>
      <c r="W306" s="14"/>
      <c r="X306" s="15"/>
      <c r="Y306" s="14"/>
      <c r="Z306" s="16"/>
      <c r="AA306" s="14"/>
      <c r="AB306" s="14"/>
      <c r="AC306" s="14"/>
      <c r="AD306" s="14"/>
      <c r="AE306" s="14"/>
      <c r="AF306" s="14"/>
      <c r="AG306" s="14"/>
      <c r="AH306" s="14"/>
    </row>
    <row r="307">
      <c r="M307" s="59"/>
      <c r="O307" s="60"/>
      <c r="Q307" s="13"/>
      <c r="R307" s="14"/>
      <c r="S307" s="14"/>
      <c r="T307" s="14"/>
      <c r="U307" s="14"/>
      <c r="V307" s="14"/>
      <c r="W307" s="14"/>
      <c r="X307" s="15"/>
      <c r="Y307" s="14"/>
      <c r="Z307" s="16"/>
      <c r="AA307" s="14"/>
      <c r="AB307" s="14"/>
      <c r="AC307" s="14"/>
      <c r="AD307" s="14"/>
      <c r="AE307" s="14"/>
      <c r="AF307" s="14"/>
      <c r="AG307" s="14"/>
      <c r="AH307" s="14"/>
    </row>
    <row r="308">
      <c r="M308" s="59"/>
      <c r="O308" s="60"/>
      <c r="Q308" s="13"/>
      <c r="R308" s="14"/>
      <c r="S308" s="14"/>
      <c r="T308" s="14"/>
      <c r="U308" s="14"/>
      <c r="V308" s="14"/>
      <c r="W308" s="14"/>
      <c r="X308" s="15"/>
      <c r="Y308" s="14"/>
      <c r="Z308" s="16"/>
      <c r="AA308" s="14"/>
      <c r="AB308" s="14"/>
      <c r="AC308" s="14"/>
      <c r="AD308" s="14"/>
      <c r="AE308" s="14"/>
      <c r="AF308" s="14"/>
      <c r="AG308" s="14"/>
      <c r="AH308" s="14"/>
    </row>
    <row r="309">
      <c r="M309" s="59"/>
      <c r="O309" s="60"/>
      <c r="Q309" s="13"/>
      <c r="R309" s="14"/>
      <c r="S309" s="14"/>
      <c r="T309" s="14"/>
      <c r="U309" s="14"/>
      <c r="V309" s="14"/>
      <c r="W309" s="14"/>
      <c r="X309" s="15"/>
      <c r="Y309" s="14"/>
      <c r="Z309" s="16"/>
      <c r="AA309" s="14"/>
      <c r="AB309" s="14"/>
      <c r="AC309" s="14"/>
      <c r="AD309" s="14"/>
      <c r="AE309" s="14"/>
      <c r="AF309" s="14"/>
      <c r="AG309" s="14"/>
      <c r="AH309" s="14"/>
    </row>
    <row r="310">
      <c r="M310" s="59"/>
      <c r="O310" s="60"/>
      <c r="Q310" s="13"/>
      <c r="R310" s="14"/>
      <c r="S310" s="14"/>
      <c r="T310" s="14"/>
      <c r="U310" s="14"/>
      <c r="V310" s="14"/>
      <c r="W310" s="14"/>
      <c r="X310" s="15"/>
      <c r="Y310" s="14"/>
      <c r="Z310" s="16"/>
      <c r="AA310" s="14"/>
      <c r="AB310" s="14"/>
      <c r="AC310" s="14"/>
      <c r="AD310" s="14"/>
      <c r="AE310" s="14"/>
      <c r="AF310" s="14"/>
      <c r="AG310" s="14"/>
      <c r="AH310" s="14"/>
    </row>
    <row r="311">
      <c r="M311" s="59"/>
      <c r="O311" s="60"/>
      <c r="Q311" s="13"/>
      <c r="R311" s="14"/>
      <c r="S311" s="14"/>
      <c r="T311" s="14"/>
      <c r="U311" s="14"/>
      <c r="V311" s="14"/>
      <c r="W311" s="14"/>
      <c r="X311" s="15"/>
      <c r="Y311" s="14"/>
      <c r="Z311" s="16"/>
      <c r="AA311" s="14"/>
      <c r="AB311" s="14"/>
      <c r="AC311" s="14"/>
      <c r="AD311" s="14"/>
      <c r="AE311" s="14"/>
      <c r="AF311" s="14"/>
      <c r="AG311" s="14"/>
      <c r="AH311" s="14"/>
    </row>
    <row r="312">
      <c r="M312" s="59"/>
      <c r="O312" s="60"/>
      <c r="Q312" s="13"/>
      <c r="R312" s="14"/>
      <c r="S312" s="14"/>
      <c r="T312" s="14"/>
      <c r="U312" s="14"/>
      <c r="V312" s="14"/>
      <c r="W312" s="14"/>
      <c r="X312" s="15"/>
      <c r="Y312" s="14"/>
      <c r="Z312" s="16"/>
      <c r="AA312" s="14"/>
      <c r="AB312" s="14"/>
      <c r="AC312" s="14"/>
      <c r="AD312" s="14"/>
      <c r="AE312" s="14"/>
      <c r="AF312" s="14"/>
      <c r="AG312" s="14"/>
      <c r="AH312" s="14"/>
    </row>
    <row r="313">
      <c r="M313" s="59"/>
      <c r="O313" s="60"/>
      <c r="Q313" s="13"/>
      <c r="R313" s="14"/>
      <c r="S313" s="14"/>
      <c r="T313" s="14"/>
      <c r="U313" s="14"/>
      <c r="V313" s="14"/>
      <c r="W313" s="14"/>
      <c r="X313" s="15"/>
      <c r="Y313" s="14"/>
      <c r="Z313" s="16"/>
      <c r="AA313" s="14"/>
      <c r="AB313" s="14"/>
      <c r="AC313" s="14"/>
      <c r="AD313" s="14"/>
      <c r="AE313" s="14"/>
      <c r="AF313" s="14"/>
      <c r="AG313" s="14"/>
      <c r="AH313" s="14"/>
    </row>
    <row r="314">
      <c r="M314" s="59"/>
      <c r="O314" s="60"/>
      <c r="Q314" s="13"/>
      <c r="R314" s="14"/>
      <c r="S314" s="14"/>
      <c r="T314" s="14"/>
      <c r="U314" s="14"/>
      <c r="V314" s="14"/>
      <c r="W314" s="14"/>
      <c r="X314" s="15"/>
      <c r="Y314" s="14"/>
      <c r="Z314" s="16"/>
      <c r="AA314" s="14"/>
      <c r="AB314" s="14"/>
      <c r="AC314" s="14"/>
      <c r="AD314" s="14"/>
      <c r="AE314" s="14"/>
      <c r="AF314" s="14"/>
      <c r="AG314" s="14"/>
      <c r="AH314" s="14"/>
    </row>
    <row r="315">
      <c r="M315" s="59"/>
      <c r="O315" s="60"/>
      <c r="Q315" s="13"/>
      <c r="R315" s="14"/>
      <c r="S315" s="14"/>
      <c r="T315" s="14"/>
      <c r="U315" s="14"/>
      <c r="V315" s="14"/>
      <c r="W315" s="14"/>
      <c r="X315" s="15"/>
      <c r="Y315" s="14"/>
      <c r="Z315" s="16"/>
      <c r="AA315" s="14"/>
      <c r="AB315" s="14"/>
      <c r="AC315" s="14"/>
      <c r="AD315" s="14"/>
      <c r="AE315" s="14"/>
      <c r="AF315" s="14"/>
      <c r="AG315" s="14"/>
      <c r="AH315" s="14"/>
    </row>
    <row r="316">
      <c r="M316" s="59"/>
      <c r="O316" s="60"/>
      <c r="Q316" s="13"/>
      <c r="R316" s="14"/>
      <c r="S316" s="14"/>
      <c r="T316" s="14"/>
      <c r="U316" s="14"/>
      <c r="V316" s="14"/>
      <c r="W316" s="14"/>
      <c r="X316" s="15"/>
      <c r="Y316" s="14"/>
      <c r="Z316" s="16"/>
      <c r="AA316" s="14"/>
      <c r="AB316" s="14"/>
      <c r="AC316" s="14"/>
      <c r="AD316" s="14"/>
      <c r="AE316" s="14"/>
      <c r="AF316" s="14"/>
      <c r="AG316" s="14"/>
      <c r="AH316" s="14"/>
    </row>
    <row r="317">
      <c r="M317" s="59"/>
      <c r="O317" s="60"/>
      <c r="Q317" s="13"/>
      <c r="R317" s="14"/>
      <c r="S317" s="14"/>
      <c r="T317" s="14"/>
      <c r="U317" s="14"/>
      <c r="V317" s="14"/>
      <c r="W317" s="14"/>
      <c r="X317" s="15"/>
      <c r="Y317" s="14"/>
      <c r="Z317" s="16"/>
      <c r="AA317" s="14"/>
      <c r="AB317" s="14"/>
      <c r="AC317" s="14"/>
      <c r="AD317" s="14"/>
      <c r="AE317" s="14"/>
      <c r="AF317" s="14"/>
      <c r="AG317" s="14"/>
      <c r="AH317" s="14"/>
    </row>
    <row r="318">
      <c r="M318" s="59"/>
      <c r="O318" s="60"/>
      <c r="Q318" s="13"/>
      <c r="R318" s="14"/>
      <c r="S318" s="14"/>
      <c r="T318" s="14"/>
      <c r="U318" s="14"/>
      <c r="V318" s="14"/>
      <c r="W318" s="14"/>
      <c r="X318" s="15"/>
      <c r="Y318" s="14"/>
      <c r="Z318" s="16"/>
      <c r="AA318" s="14"/>
      <c r="AB318" s="14"/>
      <c r="AC318" s="14"/>
      <c r="AD318" s="14"/>
      <c r="AE318" s="14"/>
      <c r="AF318" s="14"/>
      <c r="AG318" s="14"/>
      <c r="AH318" s="14"/>
    </row>
    <row r="319">
      <c r="M319" s="59"/>
      <c r="O319" s="60"/>
      <c r="Q319" s="13"/>
      <c r="R319" s="14"/>
      <c r="S319" s="14"/>
      <c r="T319" s="14"/>
      <c r="U319" s="14"/>
      <c r="V319" s="14"/>
      <c r="W319" s="14"/>
      <c r="X319" s="15"/>
      <c r="Y319" s="14"/>
      <c r="Z319" s="16"/>
      <c r="AA319" s="14"/>
      <c r="AB319" s="14"/>
      <c r="AC319" s="14"/>
      <c r="AD319" s="14"/>
      <c r="AE319" s="14"/>
      <c r="AF319" s="14"/>
      <c r="AG319" s="14"/>
      <c r="AH319" s="14"/>
    </row>
    <row r="320">
      <c r="M320" s="59"/>
      <c r="O320" s="60"/>
      <c r="Q320" s="13"/>
      <c r="R320" s="14"/>
      <c r="S320" s="14"/>
      <c r="T320" s="14"/>
      <c r="U320" s="14"/>
      <c r="V320" s="14"/>
      <c r="W320" s="14"/>
      <c r="X320" s="15"/>
      <c r="Y320" s="14"/>
      <c r="Z320" s="16"/>
      <c r="AA320" s="14"/>
      <c r="AB320" s="14"/>
      <c r="AC320" s="14"/>
      <c r="AD320" s="14"/>
      <c r="AE320" s="14"/>
      <c r="AF320" s="14"/>
      <c r="AG320" s="14"/>
      <c r="AH320" s="14"/>
    </row>
    <row r="321">
      <c r="M321" s="59"/>
      <c r="O321" s="60"/>
      <c r="Q321" s="13"/>
      <c r="R321" s="14"/>
      <c r="S321" s="14"/>
      <c r="T321" s="14"/>
      <c r="U321" s="14"/>
      <c r="V321" s="14"/>
      <c r="W321" s="14"/>
      <c r="X321" s="15"/>
      <c r="Y321" s="14"/>
      <c r="Z321" s="16"/>
      <c r="AA321" s="14"/>
      <c r="AB321" s="14"/>
      <c r="AC321" s="14"/>
      <c r="AD321" s="14"/>
      <c r="AE321" s="14"/>
      <c r="AF321" s="14"/>
      <c r="AG321" s="14"/>
      <c r="AH321" s="14"/>
    </row>
    <row r="322">
      <c r="M322" s="59"/>
      <c r="O322" s="60"/>
      <c r="Q322" s="13"/>
      <c r="R322" s="14"/>
      <c r="S322" s="14"/>
      <c r="T322" s="14"/>
      <c r="U322" s="14"/>
      <c r="V322" s="14"/>
      <c r="W322" s="14"/>
      <c r="X322" s="15"/>
      <c r="Y322" s="14"/>
      <c r="Z322" s="16"/>
      <c r="AA322" s="14"/>
      <c r="AB322" s="14"/>
      <c r="AC322" s="14"/>
      <c r="AD322" s="14"/>
      <c r="AE322" s="14"/>
      <c r="AF322" s="14"/>
      <c r="AG322" s="14"/>
      <c r="AH322" s="14"/>
    </row>
    <row r="323">
      <c r="M323" s="59"/>
      <c r="O323" s="60"/>
      <c r="Q323" s="13"/>
      <c r="R323" s="14"/>
      <c r="S323" s="14"/>
      <c r="T323" s="14"/>
      <c r="U323" s="14"/>
      <c r="V323" s="14"/>
      <c r="W323" s="14"/>
      <c r="X323" s="15"/>
      <c r="Y323" s="14"/>
      <c r="Z323" s="16"/>
      <c r="AA323" s="14"/>
      <c r="AB323" s="14"/>
      <c r="AC323" s="14"/>
      <c r="AD323" s="14"/>
      <c r="AE323" s="14"/>
      <c r="AF323" s="14"/>
      <c r="AG323" s="14"/>
      <c r="AH323" s="14"/>
    </row>
    <row r="324">
      <c r="M324" s="59"/>
      <c r="O324" s="60"/>
      <c r="Q324" s="13"/>
      <c r="R324" s="14"/>
      <c r="S324" s="14"/>
      <c r="T324" s="14"/>
      <c r="U324" s="14"/>
      <c r="V324" s="14"/>
      <c r="W324" s="14"/>
      <c r="X324" s="15"/>
      <c r="Y324" s="14"/>
      <c r="Z324" s="16"/>
      <c r="AA324" s="14"/>
      <c r="AB324" s="14"/>
      <c r="AC324" s="14"/>
      <c r="AD324" s="14"/>
      <c r="AE324" s="14"/>
      <c r="AF324" s="14"/>
      <c r="AG324" s="14"/>
      <c r="AH324" s="14"/>
    </row>
    <row r="325">
      <c r="M325" s="59"/>
      <c r="O325" s="60"/>
      <c r="Q325" s="13"/>
      <c r="R325" s="14"/>
      <c r="S325" s="14"/>
      <c r="T325" s="14"/>
      <c r="U325" s="14"/>
      <c r="V325" s="14"/>
      <c r="W325" s="14"/>
      <c r="X325" s="15"/>
      <c r="Y325" s="14"/>
      <c r="Z325" s="16"/>
      <c r="AA325" s="14"/>
      <c r="AB325" s="14"/>
      <c r="AC325" s="14"/>
      <c r="AD325" s="14"/>
      <c r="AE325" s="14"/>
      <c r="AF325" s="14"/>
      <c r="AG325" s="14"/>
      <c r="AH325" s="14"/>
    </row>
    <row r="326">
      <c r="M326" s="59"/>
      <c r="O326" s="60"/>
      <c r="Q326" s="13"/>
      <c r="R326" s="14"/>
      <c r="S326" s="14"/>
      <c r="T326" s="14"/>
      <c r="U326" s="14"/>
      <c r="V326" s="14"/>
      <c r="W326" s="14"/>
      <c r="X326" s="15"/>
      <c r="Y326" s="14"/>
      <c r="Z326" s="16"/>
      <c r="AA326" s="14"/>
      <c r="AB326" s="14"/>
      <c r="AC326" s="14"/>
      <c r="AD326" s="14"/>
      <c r="AE326" s="14"/>
      <c r="AF326" s="14"/>
      <c r="AG326" s="14"/>
      <c r="AH326" s="14"/>
    </row>
    <row r="327">
      <c r="M327" s="59"/>
      <c r="O327" s="60"/>
      <c r="Q327" s="13"/>
      <c r="R327" s="14"/>
      <c r="S327" s="14"/>
      <c r="T327" s="14"/>
      <c r="U327" s="14"/>
      <c r="V327" s="14"/>
      <c r="W327" s="14"/>
      <c r="X327" s="15"/>
      <c r="Y327" s="14"/>
      <c r="Z327" s="16"/>
      <c r="AA327" s="14"/>
      <c r="AB327" s="14"/>
      <c r="AC327" s="14"/>
      <c r="AD327" s="14"/>
      <c r="AE327" s="14"/>
      <c r="AF327" s="14"/>
      <c r="AG327" s="14"/>
      <c r="AH327" s="14"/>
    </row>
    <row r="328">
      <c r="M328" s="59"/>
      <c r="O328" s="60"/>
      <c r="Q328" s="13"/>
      <c r="R328" s="14"/>
      <c r="S328" s="14"/>
      <c r="T328" s="14"/>
      <c r="U328" s="14"/>
      <c r="V328" s="14"/>
      <c r="W328" s="14"/>
      <c r="X328" s="15"/>
      <c r="Y328" s="14"/>
      <c r="Z328" s="16"/>
      <c r="AA328" s="14"/>
      <c r="AB328" s="14"/>
      <c r="AC328" s="14"/>
      <c r="AD328" s="14"/>
      <c r="AE328" s="14"/>
      <c r="AF328" s="14"/>
      <c r="AG328" s="14"/>
      <c r="AH328" s="14"/>
    </row>
    <row r="329">
      <c r="M329" s="59"/>
      <c r="O329" s="60"/>
      <c r="Q329" s="13"/>
      <c r="R329" s="14"/>
      <c r="S329" s="14"/>
      <c r="T329" s="14"/>
      <c r="U329" s="14"/>
      <c r="V329" s="14"/>
      <c r="W329" s="14"/>
      <c r="X329" s="15"/>
      <c r="Y329" s="14"/>
      <c r="Z329" s="16"/>
      <c r="AA329" s="14"/>
      <c r="AB329" s="14"/>
      <c r="AC329" s="14"/>
      <c r="AD329" s="14"/>
      <c r="AE329" s="14"/>
      <c r="AF329" s="14"/>
      <c r="AG329" s="14"/>
      <c r="AH329" s="14"/>
    </row>
    <row r="330">
      <c r="M330" s="59"/>
      <c r="O330" s="60"/>
      <c r="Q330" s="13"/>
      <c r="R330" s="14"/>
      <c r="S330" s="14"/>
      <c r="T330" s="14"/>
      <c r="U330" s="14"/>
      <c r="V330" s="14"/>
      <c r="W330" s="14"/>
      <c r="X330" s="15"/>
      <c r="Y330" s="14"/>
      <c r="Z330" s="16"/>
      <c r="AA330" s="14"/>
      <c r="AB330" s="14"/>
      <c r="AC330" s="14"/>
      <c r="AD330" s="14"/>
      <c r="AE330" s="14"/>
      <c r="AF330" s="14"/>
      <c r="AG330" s="14"/>
      <c r="AH330" s="14"/>
    </row>
    <row r="331">
      <c r="M331" s="59"/>
      <c r="O331" s="60"/>
      <c r="Q331" s="13"/>
      <c r="R331" s="14"/>
      <c r="S331" s="14"/>
      <c r="T331" s="14"/>
      <c r="U331" s="14"/>
      <c r="V331" s="14"/>
      <c r="W331" s="14"/>
      <c r="X331" s="15"/>
      <c r="Y331" s="14"/>
      <c r="Z331" s="16"/>
      <c r="AA331" s="14"/>
      <c r="AB331" s="14"/>
      <c r="AC331" s="14"/>
      <c r="AD331" s="14"/>
      <c r="AE331" s="14"/>
      <c r="AF331" s="14"/>
      <c r="AG331" s="14"/>
      <c r="AH331" s="14"/>
    </row>
    <row r="332">
      <c r="M332" s="59"/>
      <c r="O332" s="60"/>
      <c r="Q332" s="13"/>
      <c r="R332" s="14"/>
      <c r="S332" s="14"/>
      <c r="T332" s="14"/>
      <c r="U332" s="14"/>
      <c r="V332" s="14"/>
      <c r="W332" s="14"/>
      <c r="X332" s="15"/>
      <c r="Y332" s="14"/>
      <c r="Z332" s="16"/>
      <c r="AA332" s="14"/>
      <c r="AB332" s="14"/>
      <c r="AC332" s="14"/>
      <c r="AD332" s="14"/>
      <c r="AE332" s="14"/>
      <c r="AF332" s="14"/>
      <c r="AG332" s="14"/>
      <c r="AH332" s="14"/>
    </row>
    <row r="333">
      <c r="M333" s="59"/>
      <c r="O333" s="60"/>
      <c r="Q333" s="13"/>
      <c r="R333" s="14"/>
      <c r="S333" s="14"/>
      <c r="T333" s="14"/>
      <c r="U333" s="14"/>
      <c r="V333" s="14"/>
      <c r="W333" s="14"/>
      <c r="X333" s="15"/>
      <c r="Y333" s="14"/>
      <c r="Z333" s="16"/>
      <c r="AA333" s="14"/>
      <c r="AB333" s="14"/>
      <c r="AC333" s="14"/>
      <c r="AD333" s="14"/>
      <c r="AE333" s="14"/>
      <c r="AF333" s="14"/>
      <c r="AG333" s="14"/>
      <c r="AH333" s="14"/>
    </row>
    <row r="334">
      <c r="M334" s="59"/>
      <c r="O334" s="60"/>
      <c r="Q334" s="13"/>
      <c r="R334" s="14"/>
      <c r="S334" s="14"/>
      <c r="T334" s="14"/>
      <c r="U334" s="14"/>
      <c r="V334" s="14"/>
      <c r="W334" s="14"/>
      <c r="X334" s="15"/>
      <c r="Y334" s="14"/>
      <c r="Z334" s="16"/>
      <c r="AA334" s="14"/>
      <c r="AB334" s="14"/>
      <c r="AC334" s="14"/>
      <c r="AD334" s="14"/>
      <c r="AE334" s="14"/>
      <c r="AF334" s="14"/>
      <c r="AG334" s="14"/>
      <c r="AH334" s="14"/>
    </row>
    <row r="335">
      <c r="M335" s="59"/>
      <c r="O335" s="60"/>
      <c r="Q335" s="13"/>
      <c r="R335" s="14"/>
      <c r="S335" s="14"/>
      <c r="T335" s="14"/>
      <c r="U335" s="14"/>
      <c r="V335" s="14"/>
      <c r="W335" s="14"/>
      <c r="X335" s="15"/>
      <c r="Y335" s="14"/>
      <c r="Z335" s="16"/>
      <c r="AA335" s="14"/>
      <c r="AB335" s="14"/>
      <c r="AC335" s="14"/>
      <c r="AD335" s="14"/>
      <c r="AE335" s="14"/>
      <c r="AF335" s="14"/>
      <c r="AG335" s="14"/>
      <c r="AH335" s="14"/>
    </row>
    <row r="336">
      <c r="M336" s="59"/>
      <c r="O336" s="60"/>
      <c r="Q336" s="13"/>
      <c r="R336" s="14"/>
      <c r="S336" s="14"/>
      <c r="T336" s="14"/>
      <c r="U336" s="14"/>
      <c r="V336" s="14"/>
      <c r="W336" s="14"/>
      <c r="X336" s="15"/>
      <c r="Y336" s="14"/>
      <c r="Z336" s="16"/>
      <c r="AA336" s="14"/>
      <c r="AB336" s="14"/>
      <c r="AC336" s="14"/>
      <c r="AD336" s="14"/>
      <c r="AE336" s="14"/>
      <c r="AF336" s="14"/>
      <c r="AG336" s="14"/>
      <c r="AH336" s="14"/>
    </row>
    <row r="337">
      <c r="M337" s="59"/>
      <c r="O337" s="60"/>
      <c r="Q337" s="13"/>
      <c r="R337" s="14"/>
      <c r="S337" s="14"/>
      <c r="T337" s="14"/>
      <c r="U337" s="14"/>
      <c r="V337" s="14"/>
      <c r="W337" s="14"/>
      <c r="X337" s="15"/>
      <c r="Y337" s="14"/>
      <c r="Z337" s="16"/>
      <c r="AA337" s="14"/>
      <c r="AB337" s="14"/>
      <c r="AC337" s="14"/>
      <c r="AD337" s="14"/>
      <c r="AE337" s="14"/>
      <c r="AF337" s="14"/>
      <c r="AG337" s="14"/>
      <c r="AH337" s="14"/>
    </row>
    <row r="338">
      <c r="M338" s="59"/>
      <c r="O338" s="60"/>
      <c r="Q338" s="13"/>
      <c r="R338" s="14"/>
      <c r="S338" s="14"/>
      <c r="T338" s="14"/>
      <c r="U338" s="14"/>
      <c r="V338" s="14"/>
      <c r="W338" s="14"/>
      <c r="X338" s="15"/>
      <c r="Y338" s="14"/>
      <c r="Z338" s="16"/>
      <c r="AA338" s="14"/>
      <c r="AB338" s="14"/>
      <c r="AC338" s="14"/>
      <c r="AD338" s="14"/>
      <c r="AE338" s="14"/>
      <c r="AF338" s="14"/>
      <c r="AG338" s="14"/>
      <c r="AH338" s="14"/>
    </row>
    <row r="339">
      <c r="M339" s="59"/>
      <c r="O339" s="60"/>
      <c r="Q339" s="13"/>
      <c r="R339" s="14"/>
      <c r="S339" s="14"/>
      <c r="T339" s="14"/>
      <c r="U339" s="14"/>
      <c r="V339" s="14"/>
      <c r="W339" s="14"/>
      <c r="X339" s="15"/>
      <c r="Y339" s="14"/>
      <c r="Z339" s="16"/>
      <c r="AA339" s="14"/>
      <c r="AB339" s="14"/>
      <c r="AC339" s="14"/>
      <c r="AD339" s="14"/>
      <c r="AE339" s="14"/>
      <c r="AF339" s="14"/>
      <c r="AG339" s="14"/>
      <c r="AH339" s="14"/>
    </row>
    <row r="340">
      <c r="M340" s="59"/>
      <c r="O340" s="60"/>
      <c r="Q340" s="13"/>
      <c r="R340" s="14"/>
      <c r="S340" s="14"/>
      <c r="T340" s="14"/>
      <c r="U340" s="14"/>
      <c r="V340" s="14"/>
      <c r="W340" s="14"/>
      <c r="X340" s="15"/>
      <c r="Y340" s="14"/>
      <c r="Z340" s="16"/>
      <c r="AA340" s="14"/>
      <c r="AB340" s="14"/>
      <c r="AC340" s="14"/>
      <c r="AD340" s="14"/>
      <c r="AE340" s="14"/>
      <c r="AF340" s="14"/>
      <c r="AG340" s="14"/>
      <c r="AH340" s="14"/>
    </row>
    <row r="341">
      <c r="M341" s="59"/>
      <c r="O341" s="60"/>
      <c r="Q341" s="13"/>
      <c r="R341" s="14"/>
      <c r="S341" s="14"/>
      <c r="T341" s="14"/>
      <c r="U341" s="14"/>
      <c r="V341" s="14"/>
      <c r="W341" s="14"/>
      <c r="X341" s="15"/>
      <c r="Y341" s="14"/>
      <c r="Z341" s="16"/>
      <c r="AA341" s="14"/>
      <c r="AB341" s="14"/>
      <c r="AC341" s="14"/>
      <c r="AD341" s="14"/>
      <c r="AE341" s="14"/>
      <c r="AF341" s="14"/>
      <c r="AG341" s="14"/>
      <c r="AH341" s="14"/>
    </row>
    <row r="342">
      <c r="M342" s="59"/>
      <c r="O342" s="60"/>
      <c r="Q342" s="13"/>
      <c r="R342" s="14"/>
      <c r="S342" s="14"/>
      <c r="T342" s="14"/>
      <c r="U342" s="14"/>
      <c r="V342" s="14"/>
      <c r="W342" s="14"/>
      <c r="X342" s="15"/>
      <c r="Y342" s="14"/>
      <c r="Z342" s="16"/>
      <c r="AA342" s="14"/>
      <c r="AB342" s="14"/>
      <c r="AC342" s="14"/>
      <c r="AD342" s="14"/>
      <c r="AE342" s="14"/>
      <c r="AF342" s="14"/>
      <c r="AG342" s="14"/>
      <c r="AH342" s="14"/>
    </row>
    <row r="343">
      <c r="M343" s="59"/>
      <c r="O343" s="60"/>
      <c r="Q343" s="13"/>
      <c r="R343" s="14"/>
      <c r="S343" s="14"/>
      <c r="T343" s="14"/>
      <c r="U343" s="14"/>
      <c r="V343" s="14"/>
      <c r="W343" s="14"/>
      <c r="X343" s="15"/>
      <c r="Y343" s="14"/>
      <c r="Z343" s="16"/>
      <c r="AA343" s="14"/>
      <c r="AB343" s="14"/>
      <c r="AC343" s="14"/>
      <c r="AD343" s="14"/>
      <c r="AE343" s="14"/>
      <c r="AF343" s="14"/>
      <c r="AG343" s="14"/>
      <c r="AH343" s="14"/>
    </row>
    <row r="344">
      <c r="M344" s="59"/>
      <c r="O344" s="60"/>
      <c r="Q344" s="13"/>
      <c r="R344" s="14"/>
      <c r="S344" s="14"/>
      <c r="T344" s="14"/>
      <c r="U344" s="14"/>
      <c r="V344" s="14"/>
      <c r="W344" s="14"/>
      <c r="X344" s="15"/>
      <c r="Y344" s="14"/>
      <c r="Z344" s="16"/>
      <c r="AA344" s="14"/>
      <c r="AB344" s="14"/>
      <c r="AC344" s="14"/>
      <c r="AD344" s="14"/>
      <c r="AE344" s="14"/>
      <c r="AF344" s="14"/>
      <c r="AG344" s="14"/>
      <c r="AH344" s="14"/>
    </row>
    <row r="345">
      <c r="M345" s="59"/>
      <c r="O345" s="60"/>
      <c r="Q345" s="13"/>
      <c r="R345" s="14"/>
      <c r="S345" s="14"/>
      <c r="T345" s="14"/>
      <c r="U345" s="14"/>
      <c r="V345" s="14"/>
      <c r="W345" s="14"/>
      <c r="X345" s="15"/>
      <c r="Y345" s="14"/>
      <c r="Z345" s="16"/>
      <c r="AA345" s="14"/>
      <c r="AB345" s="14"/>
      <c r="AC345" s="14"/>
      <c r="AD345" s="14"/>
      <c r="AE345" s="14"/>
      <c r="AF345" s="14"/>
      <c r="AG345" s="14"/>
      <c r="AH345" s="14"/>
    </row>
    <row r="346">
      <c r="M346" s="59"/>
      <c r="O346" s="60"/>
      <c r="Q346" s="13"/>
      <c r="R346" s="14"/>
      <c r="S346" s="14"/>
      <c r="T346" s="14"/>
      <c r="U346" s="14"/>
      <c r="V346" s="14"/>
      <c r="W346" s="14"/>
      <c r="X346" s="15"/>
      <c r="Y346" s="14"/>
      <c r="Z346" s="16"/>
      <c r="AA346" s="14"/>
      <c r="AB346" s="14"/>
      <c r="AC346" s="14"/>
      <c r="AD346" s="14"/>
      <c r="AE346" s="14"/>
      <c r="AF346" s="14"/>
      <c r="AG346" s="14"/>
      <c r="AH346" s="14"/>
    </row>
    <row r="347">
      <c r="M347" s="59"/>
      <c r="O347" s="60"/>
      <c r="Q347" s="13"/>
      <c r="R347" s="14"/>
      <c r="S347" s="14"/>
      <c r="T347" s="14"/>
      <c r="U347" s="14"/>
      <c r="V347" s="14"/>
      <c r="W347" s="14"/>
      <c r="X347" s="15"/>
      <c r="Y347" s="14"/>
      <c r="Z347" s="16"/>
      <c r="AA347" s="14"/>
      <c r="AB347" s="14"/>
      <c r="AC347" s="14"/>
      <c r="AD347" s="14"/>
      <c r="AE347" s="14"/>
      <c r="AF347" s="14"/>
      <c r="AG347" s="14"/>
      <c r="AH347" s="14"/>
    </row>
    <row r="348">
      <c r="M348" s="59"/>
      <c r="O348" s="60"/>
      <c r="Q348" s="13"/>
      <c r="R348" s="14"/>
      <c r="S348" s="14"/>
      <c r="T348" s="14"/>
      <c r="U348" s="14"/>
      <c r="V348" s="14"/>
      <c r="W348" s="14"/>
      <c r="X348" s="15"/>
      <c r="Y348" s="14"/>
      <c r="Z348" s="16"/>
      <c r="AA348" s="14"/>
      <c r="AB348" s="14"/>
      <c r="AC348" s="14"/>
      <c r="AD348" s="14"/>
      <c r="AE348" s="14"/>
      <c r="AF348" s="14"/>
      <c r="AG348" s="14"/>
      <c r="AH348" s="14"/>
    </row>
    <row r="349">
      <c r="M349" s="59"/>
      <c r="O349" s="60"/>
      <c r="Q349" s="13"/>
      <c r="R349" s="14"/>
      <c r="S349" s="14"/>
      <c r="T349" s="14"/>
      <c r="U349" s="14"/>
      <c r="V349" s="14"/>
      <c r="W349" s="14"/>
      <c r="X349" s="15"/>
      <c r="Y349" s="14"/>
      <c r="Z349" s="16"/>
      <c r="AA349" s="14"/>
      <c r="AB349" s="14"/>
      <c r="AC349" s="14"/>
      <c r="AD349" s="14"/>
      <c r="AE349" s="14"/>
      <c r="AF349" s="14"/>
      <c r="AG349" s="14"/>
      <c r="AH349" s="14"/>
    </row>
    <row r="350">
      <c r="M350" s="59"/>
      <c r="O350" s="60"/>
      <c r="Q350" s="13"/>
      <c r="R350" s="14"/>
      <c r="S350" s="14"/>
      <c r="T350" s="14"/>
      <c r="U350" s="14"/>
      <c r="V350" s="14"/>
      <c r="W350" s="14"/>
      <c r="X350" s="15"/>
      <c r="Y350" s="14"/>
      <c r="Z350" s="16"/>
      <c r="AA350" s="14"/>
      <c r="AB350" s="14"/>
      <c r="AC350" s="14"/>
      <c r="AD350" s="14"/>
      <c r="AE350" s="14"/>
      <c r="AF350" s="14"/>
      <c r="AG350" s="14"/>
      <c r="AH350" s="14"/>
    </row>
    <row r="351">
      <c r="M351" s="59"/>
      <c r="O351" s="60"/>
      <c r="Q351" s="13"/>
      <c r="R351" s="14"/>
      <c r="S351" s="14"/>
      <c r="T351" s="14"/>
      <c r="U351" s="14"/>
      <c r="V351" s="14"/>
      <c r="W351" s="14"/>
      <c r="X351" s="15"/>
      <c r="Y351" s="14"/>
      <c r="Z351" s="16"/>
      <c r="AA351" s="14"/>
      <c r="AB351" s="14"/>
      <c r="AC351" s="14"/>
      <c r="AD351" s="14"/>
      <c r="AE351" s="14"/>
      <c r="AF351" s="14"/>
      <c r="AG351" s="14"/>
      <c r="AH351" s="14"/>
    </row>
    <row r="352">
      <c r="M352" s="59"/>
      <c r="O352" s="60"/>
      <c r="Q352" s="13"/>
      <c r="R352" s="14"/>
      <c r="S352" s="14"/>
      <c r="T352" s="14"/>
      <c r="U352" s="14"/>
      <c r="V352" s="14"/>
      <c r="W352" s="14"/>
      <c r="X352" s="15"/>
      <c r="Y352" s="14"/>
      <c r="Z352" s="16"/>
      <c r="AA352" s="14"/>
      <c r="AB352" s="14"/>
      <c r="AC352" s="14"/>
      <c r="AD352" s="14"/>
      <c r="AE352" s="14"/>
      <c r="AF352" s="14"/>
      <c r="AG352" s="14"/>
      <c r="AH352" s="14"/>
    </row>
    <row r="353">
      <c r="M353" s="59"/>
      <c r="O353" s="60"/>
      <c r="Q353" s="13"/>
      <c r="R353" s="14"/>
      <c r="S353" s="14"/>
      <c r="T353" s="14"/>
      <c r="U353" s="14"/>
      <c r="V353" s="14"/>
      <c r="W353" s="14"/>
      <c r="X353" s="15"/>
      <c r="Y353" s="14"/>
      <c r="Z353" s="16"/>
      <c r="AA353" s="14"/>
      <c r="AB353" s="14"/>
      <c r="AC353" s="14"/>
      <c r="AD353" s="14"/>
      <c r="AE353" s="14"/>
      <c r="AF353" s="14"/>
      <c r="AG353" s="14"/>
      <c r="AH353" s="14"/>
    </row>
    <row r="354">
      <c r="M354" s="59"/>
      <c r="O354" s="60"/>
      <c r="Q354" s="13"/>
      <c r="R354" s="14"/>
      <c r="S354" s="14"/>
      <c r="T354" s="14"/>
      <c r="U354" s="14"/>
      <c r="V354" s="14"/>
      <c r="W354" s="14"/>
      <c r="X354" s="15"/>
      <c r="Y354" s="14"/>
      <c r="Z354" s="16"/>
      <c r="AA354" s="14"/>
      <c r="AB354" s="14"/>
      <c r="AC354" s="14"/>
      <c r="AD354" s="14"/>
      <c r="AE354" s="14"/>
      <c r="AF354" s="14"/>
      <c r="AG354" s="14"/>
      <c r="AH354" s="14"/>
    </row>
    <row r="355">
      <c r="M355" s="59"/>
      <c r="O355" s="60"/>
      <c r="Q355" s="13"/>
      <c r="R355" s="14"/>
      <c r="S355" s="14"/>
      <c r="T355" s="14"/>
      <c r="U355" s="14"/>
      <c r="V355" s="14"/>
      <c r="W355" s="14"/>
      <c r="X355" s="15"/>
      <c r="Y355" s="14"/>
      <c r="Z355" s="16"/>
      <c r="AA355" s="14"/>
      <c r="AB355" s="14"/>
      <c r="AC355" s="14"/>
      <c r="AD355" s="14"/>
      <c r="AE355" s="14"/>
      <c r="AF355" s="14"/>
      <c r="AG355" s="14"/>
      <c r="AH355" s="14"/>
    </row>
    <row r="356">
      <c r="M356" s="59"/>
      <c r="O356" s="60"/>
      <c r="Q356" s="13"/>
      <c r="R356" s="14"/>
      <c r="S356" s="14"/>
      <c r="T356" s="14"/>
      <c r="U356" s="14"/>
      <c r="V356" s="14"/>
      <c r="W356" s="14"/>
      <c r="X356" s="15"/>
      <c r="Y356" s="14"/>
      <c r="Z356" s="16"/>
      <c r="AA356" s="14"/>
      <c r="AB356" s="14"/>
      <c r="AC356" s="14"/>
      <c r="AD356" s="14"/>
      <c r="AE356" s="14"/>
      <c r="AF356" s="14"/>
      <c r="AG356" s="14"/>
      <c r="AH356" s="14"/>
    </row>
    <row r="357">
      <c r="M357" s="59"/>
      <c r="O357" s="60"/>
      <c r="Q357" s="13"/>
      <c r="R357" s="14"/>
      <c r="S357" s="14"/>
      <c r="T357" s="14"/>
      <c r="U357" s="14"/>
      <c r="V357" s="14"/>
      <c r="W357" s="14"/>
      <c r="X357" s="15"/>
      <c r="Y357" s="14"/>
      <c r="Z357" s="16"/>
      <c r="AA357" s="14"/>
      <c r="AB357" s="14"/>
      <c r="AC357" s="14"/>
      <c r="AD357" s="14"/>
      <c r="AE357" s="14"/>
      <c r="AF357" s="14"/>
      <c r="AG357" s="14"/>
      <c r="AH357" s="14"/>
    </row>
    <row r="358">
      <c r="M358" s="59"/>
      <c r="O358" s="60"/>
      <c r="Q358" s="13"/>
      <c r="R358" s="14"/>
      <c r="S358" s="14"/>
      <c r="T358" s="14"/>
      <c r="U358" s="14"/>
      <c r="V358" s="14"/>
      <c r="W358" s="14"/>
      <c r="X358" s="15"/>
      <c r="Y358" s="14"/>
      <c r="Z358" s="16"/>
      <c r="AA358" s="14"/>
      <c r="AB358" s="14"/>
      <c r="AC358" s="14"/>
      <c r="AD358" s="14"/>
      <c r="AE358" s="14"/>
      <c r="AF358" s="14"/>
      <c r="AG358" s="14"/>
      <c r="AH358" s="14"/>
    </row>
    <row r="359">
      <c r="M359" s="59"/>
      <c r="O359" s="60"/>
      <c r="Q359" s="13"/>
      <c r="R359" s="14"/>
      <c r="S359" s="14"/>
      <c r="T359" s="14"/>
      <c r="U359" s="14"/>
      <c r="V359" s="14"/>
      <c r="W359" s="14"/>
      <c r="X359" s="15"/>
      <c r="Y359" s="14"/>
      <c r="Z359" s="16"/>
      <c r="AA359" s="14"/>
      <c r="AB359" s="14"/>
      <c r="AC359" s="14"/>
      <c r="AD359" s="14"/>
      <c r="AE359" s="14"/>
      <c r="AF359" s="14"/>
      <c r="AG359" s="14"/>
      <c r="AH359" s="14"/>
    </row>
    <row r="360">
      <c r="M360" s="59"/>
      <c r="O360" s="60"/>
      <c r="Q360" s="13"/>
      <c r="R360" s="14"/>
      <c r="S360" s="14"/>
      <c r="T360" s="14"/>
      <c r="U360" s="14"/>
      <c r="V360" s="14"/>
      <c r="W360" s="14"/>
      <c r="X360" s="15"/>
      <c r="Y360" s="14"/>
      <c r="Z360" s="16"/>
      <c r="AA360" s="14"/>
      <c r="AB360" s="14"/>
      <c r="AC360" s="14"/>
      <c r="AD360" s="14"/>
      <c r="AE360" s="14"/>
      <c r="AF360" s="14"/>
      <c r="AG360" s="14"/>
      <c r="AH360" s="14"/>
    </row>
    <row r="361">
      <c r="M361" s="59"/>
      <c r="O361" s="60"/>
      <c r="Q361" s="13"/>
      <c r="R361" s="14"/>
      <c r="S361" s="14"/>
      <c r="T361" s="14"/>
      <c r="U361" s="14"/>
      <c r="V361" s="14"/>
      <c r="W361" s="14"/>
      <c r="X361" s="15"/>
      <c r="Y361" s="14"/>
      <c r="Z361" s="16"/>
      <c r="AA361" s="14"/>
      <c r="AB361" s="14"/>
      <c r="AC361" s="14"/>
      <c r="AD361" s="14"/>
      <c r="AE361" s="14"/>
      <c r="AF361" s="14"/>
      <c r="AG361" s="14"/>
      <c r="AH361" s="14"/>
    </row>
    <row r="362">
      <c r="M362" s="59"/>
      <c r="O362" s="60"/>
      <c r="Q362" s="13"/>
      <c r="R362" s="14"/>
      <c r="S362" s="14"/>
      <c r="T362" s="14"/>
      <c r="U362" s="14"/>
      <c r="V362" s="14"/>
      <c r="W362" s="14"/>
      <c r="X362" s="15"/>
      <c r="Y362" s="14"/>
      <c r="Z362" s="16"/>
      <c r="AA362" s="14"/>
      <c r="AB362" s="14"/>
      <c r="AC362" s="14"/>
      <c r="AD362" s="14"/>
      <c r="AE362" s="14"/>
      <c r="AF362" s="14"/>
      <c r="AG362" s="14"/>
      <c r="AH362" s="14"/>
    </row>
    <row r="363">
      <c r="M363" s="59"/>
      <c r="O363" s="60"/>
      <c r="Q363" s="13"/>
      <c r="R363" s="14"/>
      <c r="S363" s="14"/>
      <c r="T363" s="14"/>
      <c r="U363" s="14"/>
      <c r="V363" s="14"/>
      <c r="W363" s="14"/>
      <c r="X363" s="15"/>
      <c r="Y363" s="14"/>
      <c r="Z363" s="16"/>
      <c r="AA363" s="14"/>
      <c r="AB363" s="14"/>
      <c r="AC363" s="14"/>
      <c r="AD363" s="14"/>
      <c r="AE363" s="14"/>
      <c r="AF363" s="14"/>
      <c r="AG363" s="14"/>
      <c r="AH363" s="14"/>
    </row>
    <row r="364">
      <c r="M364" s="59"/>
      <c r="O364" s="60"/>
      <c r="Q364" s="13"/>
      <c r="R364" s="14"/>
      <c r="S364" s="14"/>
      <c r="T364" s="14"/>
      <c r="U364" s="14"/>
      <c r="V364" s="14"/>
      <c r="W364" s="14"/>
      <c r="X364" s="15"/>
      <c r="Y364" s="14"/>
      <c r="Z364" s="16"/>
      <c r="AA364" s="14"/>
      <c r="AB364" s="14"/>
      <c r="AC364" s="14"/>
      <c r="AD364" s="14"/>
      <c r="AE364" s="14"/>
      <c r="AF364" s="14"/>
      <c r="AG364" s="14"/>
      <c r="AH364" s="14"/>
    </row>
    <row r="365">
      <c r="M365" s="59"/>
      <c r="O365" s="60"/>
      <c r="Q365" s="13"/>
      <c r="R365" s="14"/>
      <c r="S365" s="14"/>
      <c r="T365" s="14"/>
      <c r="U365" s="14"/>
      <c r="V365" s="14"/>
      <c r="W365" s="14"/>
      <c r="X365" s="15"/>
      <c r="Y365" s="14"/>
      <c r="Z365" s="16"/>
      <c r="AA365" s="14"/>
      <c r="AB365" s="14"/>
      <c r="AC365" s="14"/>
      <c r="AD365" s="14"/>
      <c r="AE365" s="14"/>
      <c r="AF365" s="14"/>
      <c r="AG365" s="14"/>
      <c r="AH365" s="14"/>
    </row>
    <row r="366">
      <c r="M366" s="59"/>
      <c r="O366" s="60"/>
      <c r="Q366" s="13"/>
      <c r="R366" s="14"/>
      <c r="S366" s="14"/>
      <c r="T366" s="14"/>
      <c r="U366" s="14"/>
      <c r="V366" s="14"/>
      <c r="W366" s="14"/>
      <c r="X366" s="15"/>
      <c r="Y366" s="14"/>
      <c r="Z366" s="16"/>
      <c r="AA366" s="14"/>
      <c r="AB366" s="14"/>
      <c r="AC366" s="14"/>
      <c r="AD366" s="14"/>
      <c r="AE366" s="14"/>
      <c r="AF366" s="14"/>
      <c r="AG366" s="14"/>
      <c r="AH366" s="14"/>
    </row>
    <row r="367">
      <c r="M367" s="59"/>
      <c r="O367" s="60"/>
      <c r="Q367" s="13"/>
      <c r="R367" s="14"/>
      <c r="S367" s="14"/>
      <c r="T367" s="14"/>
      <c r="U367" s="14"/>
      <c r="V367" s="14"/>
      <c r="W367" s="14"/>
      <c r="X367" s="15"/>
      <c r="Y367" s="14"/>
      <c r="Z367" s="16"/>
      <c r="AA367" s="14"/>
      <c r="AB367" s="14"/>
      <c r="AC367" s="14"/>
      <c r="AD367" s="14"/>
      <c r="AE367" s="14"/>
      <c r="AF367" s="14"/>
      <c r="AG367" s="14"/>
      <c r="AH367" s="14"/>
    </row>
    <row r="368">
      <c r="M368" s="59"/>
      <c r="O368" s="60"/>
      <c r="Q368" s="13"/>
      <c r="R368" s="14"/>
      <c r="S368" s="14"/>
      <c r="T368" s="14"/>
      <c r="U368" s="14"/>
      <c r="V368" s="14"/>
      <c r="W368" s="14"/>
      <c r="X368" s="15"/>
      <c r="Y368" s="14"/>
      <c r="Z368" s="16"/>
      <c r="AA368" s="14"/>
      <c r="AB368" s="14"/>
      <c r="AC368" s="14"/>
      <c r="AD368" s="14"/>
      <c r="AE368" s="14"/>
      <c r="AF368" s="14"/>
      <c r="AG368" s="14"/>
      <c r="AH368" s="14"/>
    </row>
    <row r="369">
      <c r="M369" s="59"/>
      <c r="O369" s="60"/>
      <c r="Q369" s="13"/>
      <c r="R369" s="14"/>
      <c r="S369" s="14"/>
      <c r="T369" s="14"/>
      <c r="U369" s="14"/>
      <c r="V369" s="14"/>
      <c r="W369" s="14"/>
      <c r="X369" s="15"/>
      <c r="Y369" s="14"/>
      <c r="Z369" s="16"/>
      <c r="AA369" s="14"/>
      <c r="AB369" s="14"/>
      <c r="AC369" s="14"/>
      <c r="AD369" s="14"/>
      <c r="AE369" s="14"/>
      <c r="AF369" s="14"/>
      <c r="AG369" s="14"/>
      <c r="AH369" s="14"/>
    </row>
    <row r="370">
      <c r="M370" s="59"/>
      <c r="O370" s="60"/>
      <c r="Q370" s="13"/>
      <c r="R370" s="14"/>
      <c r="S370" s="14"/>
      <c r="T370" s="14"/>
      <c r="U370" s="14"/>
      <c r="V370" s="14"/>
      <c r="W370" s="14"/>
      <c r="X370" s="15"/>
      <c r="Y370" s="14"/>
      <c r="Z370" s="16"/>
      <c r="AA370" s="14"/>
      <c r="AB370" s="14"/>
      <c r="AC370" s="14"/>
      <c r="AD370" s="14"/>
      <c r="AE370" s="14"/>
      <c r="AF370" s="14"/>
      <c r="AG370" s="14"/>
      <c r="AH370" s="14"/>
    </row>
    <row r="371">
      <c r="M371" s="59"/>
      <c r="O371" s="60"/>
      <c r="Q371" s="13"/>
      <c r="R371" s="14"/>
      <c r="S371" s="14"/>
      <c r="T371" s="14"/>
      <c r="U371" s="14"/>
      <c r="V371" s="14"/>
      <c r="W371" s="14"/>
      <c r="X371" s="15"/>
      <c r="Y371" s="14"/>
      <c r="Z371" s="16"/>
      <c r="AA371" s="14"/>
      <c r="AB371" s="14"/>
      <c r="AC371" s="14"/>
      <c r="AD371" s="14"/>
      <c r="AE371" s="14"/>
      <c r="AF371" s="14"/>
      <c r="AG371" s="14"/>
      <c r="AH371" s="14"/>
    </row>
    <row r="372">
      <c r="M372" s="59"/>
      <c r="O372" s="60"/>
      <c r="Q372" s="13"/>
      <c r="R372" s="14"/>
      <c r="S372" s="14"/>
      <c r="T372" s="14"/>
      <c r="U372" s="14"/>
      <c r="V372" s="14"/>
      <c r="W372" s="14"/>
      <c r="X372" s="15"/>
      <c r="Y372" s="14"/>
      <c r="Z372" s="16"/>
      <c r="AA372" s="14"/>
      <c r="AB372" s="14"/>
      <c r="AC372" s="14"/>
      <c r="AD372" s="14"/>
      <c r="AE372" s="14"/>
      <c r="AF372" s="14"/>
      <c r="AG372" s="14"/>
      <c r="AH372" s="14"/>
    </row>
    <row r="373">
      <c r="M373" s="59"/>
      <c r="O373" s="60"/>
      <c r="Q373" s="13"/>
      <c r="R373" s="14"/>
      <c r="S373" s="14"/>
      <c r="T373" s="14"/>
      <c r="U373" s="14"/>
      <c r="V373" s="14"/>
      <c r="W373" s="14"/>
      <c r="X373" s="15"/>
      <c r="Y373" s="14"/>
      <c r="Z373" s="16"/>
      <c r="AA373" s="14"/>
      <c r="AB373" s="14"/>
      <c r="AC373" s="14"/>
      <c r="AD373" s="14"/>
      <c r="AE373" s="14"/>
      <c r="AF373" s="14"/>
      <c r="AG373" s="14"/>
      <c r="AH373" s="14"/>
    </row>
    <row r="374">
      <c r="M374" s="59"/>
      <c r="O374" s="60"/>
      <c r="Q374" s="13"/>
      <c r="R374" s="14"/>
      <c r="S374" s="14"/>
      <c r="T374" s="14"/>
      <c r="U374" s="14"/>
      <c r="V374" s="14"/>
      <c r="W374" s="14"/>
      <c r="X374" s="15"/>
      <c r="Y374" s="14"/>
      <c r="Z374" s="16"/>
      <c r="AA374" s="14"/>
      <c r="AB374" s="14"/>
      <c r="AC374" s="14"/>
      <c r="AD374" s="14"/>
      <c r="AE374" s="14"/>
      <c r="AF374" s="14"/>
      <c r="AG374" s="14"/>
      <c r="AH374" s="14"/>
    </row>
    <row r="375">
      <c r="M375" s="59"/>
      <c r="O375" s="60"/>
      <c r="Q375" s="13"/>
      <c r="R375" s="14"/>
      <c r="S375" s="14"/>
      <c r="T375" s="14"/>
      <c r="U375" s="14"/>
      <c r="V375" s="14"/>
      <c r="W375" s="14"/>
      <c r="X375" s="15"/>
      <c r="Y375" s="14"/>
      <c r="Z375" s="16"/>
      <c r="AA375" s="14"/>
      <c r="AB375" s="14"/>
      <c r="AC375" s="14"/>
      <c r="AD375" s="14"/>
      <c r="AE375" s="14"/>
      <c r="AF375" s="14"/>
      <c r="AG375" s="14"/>
      <c r="AH375" s="14"/>
    </row>
    <row r="376">
      <c r="M376" s="59"/>
      <c r="O376" s="60"/>
      <c r="Q376" s="13"/>
      <c r="R376" s="14"/>
      <c r="S376" s="14"/>
      <c r="T376" s="14"/>
      <c r="U376" s="14"/>
      <c r="V376" s="14"/>
      <c r="W376" s="14"/>
      <c r="X376" s="15"/>
      <c r="Y376" s="14"/>
      <c r="Z376" s="16"/>
      <c r="AA376" s="14"/>
      <c r="AB376" s="14"/>
      <c r="AC376" s="14"/>
      <c r="AD376" s="14"/>
      <c r="AE376" s="14"/>
      <c r="AF376" s="14"/>
      <c r="AG376" s="14"/>
      <c r="AH376" s="14"/>
    </row>
    <row r="377">
      <c r="M377" s="59"/>
      <c r="O377" s="60"/>
      <c r="Q377" s="13"/>
      <c r="R377" s="14"/>
      <c r="S377" s="14"/>
      <c r="T377" s="14"/>
      <c r="U377" s="14"/>
      <c r="V377" s="14"/>
      <c r="W377" s="14"/>
      <c r="X377" s="15"/>
      <c r="Y377" s="14"/>
      <c r="Z377" s="16"/>
      <c r="AA377" s="14"/>
      <c r="AB377" s="14"/>
      <c r="AC377" s="14"/>
      <c r="AD377" s="14"/>
      <c r="AE377" s="14"/>
      <c r="AF377" s="14"/>
      <c r="AG377" s="14"/>
      <c r="AH377" s="14"/>
    </row>
    <row r="378">
      <c r="M378" s="59"/>
      <c r="O378" s="60"/>
      <c r="Q378" s="13"/>
      <c r="R378" s="14"/>
      <c r="S378" s="14"/>
      <c r="T378" s="14"/>
      <c r="U378" s="14"/>
      <c r="V378" s="14"/>
      <c r="W378" s="14"/>
      <c r="X378" s="15"/>
      <c r="Y378" s="14"/>
      <c r="Z378" s="16"/>
      <c r="AA378" s="14"/>
      <c r="AB378" s="14"/>
      <c r="AC378" s="14"/>
      <c r="AD378" s="14"/>
      <c r="AE378" s="14"/>
      <c r="AF378" s="14"/>
      <c r="AG378" s="14"/>
      <c r="AH378" s="14"/>
    </row>
    <row r="379">
      <c r="M379" s="59"/>
      <c r="O379" s="60"/>
      <c r="Q379" s="13"/>
      <c r="R379" s="14"/>
      <c r="S379" s="14"/>
      <c r="T379" s="14"/>
      <c r="U379" s="14"/>
      <c r="V379" s="14"/>
      <c r="W379" s="14"/>
      <c r="X379" s="15"/>
      <c r="Y379" s="14"/>
      <c r="Z379" s="16"/>
      <c r="AA379" s="14"/>
      <c r="AB379" s="14"/>
      <c r="AC379" s="14"/>
      <c r="AD379" s="14"/>
      <c r="AE379" s="14"/>
      <c r="AF379" s="14"/>
      <c r="AG379" s="14"/>
      <c r="AH379" s="14"/>
    </row>
    <row r="380">
      <c r="M380" s="59"/>
      <c r="O380" s="60"/>
      <c r="Q380" s="13"/>
      <c r="R380" s="14"/>
      <c r="S380" s="14"/>
      <c r="T380" s="14"/>
      <c r="U380" s="14"/>
      <c r="V380" s="14"/>
      <c r="W380" s="14"/>
      <c r="X380" s="15"/>
      <c r="Y380" s="14"/>
      <c r="Z380" s="16"/>
      <c r="AA380" s="14"/>
      <c r="AB380" s="14"/>
      <c r="AC380" s="14"/>
      <c r="AD380" s="14"/>
      <c r="AE380" s="14"/>
      <c r="AF380" s="14"/>
      <c r="AG380" s="14"/>
      <c r="AH380" s="14"/>
    </row>
    <row r="381">
      <c r="M381" s="59"/>
      <c r="O381" s="60"/>
      <c r="Q381" s="13"/>
      <c r="R381" s="14"/>
      <c r="S381" s="14"/>
      <c r="T381" s="14"/>
      <c r="U381" s="14"/>
      <c r="V381" s="14"/>
      <c r="W381" s="14"/>
      <c r="X381" s="15"/>
      <c r="Y381" s="14"/>
      <c r="Z381" s="16"/>
      <c r="AA381" s="14"/>
      <c r="AB381" s="14"/>
      <c r="AC381" s="14"/>
      <c r="AD381" s="14"/>
      <c r="AE381" s="14"/>
      <c r="AF381" s="14"/>
      <c r="AG381" s="14"/>
      <c r="AH381" s="14"/>
    </row>
    <row r="382">
      <c r="M382" s="59"/>
      <c r="O382" s="60"/>
      <c r="Q382" s="13"/>
      <c r="R382" s="14"/>
      <c r="S382" s="14"/>
      <c r="T382" s="14"/>
      <c r="U382" s="14"/>
      <c r="V382" s="14"/>
      <c r="W382" s="14"/>
      <c r="X382" s="15"/>
      <c r="Y382" s="14"/>
      <c r="Z382" s="16"/>
      <c r="AA382" s="14"/>
      <c r="AB382" s="14"/>
      <c r="AC382" s="14"/>
      <c r="AD382" s="14"/>
      <c r="AE382" s="14"/>
      <c r="AF382" s="14"/>
      <c r="AG382" s="14"/>
      <c r="AH382" s="14"/>
    </row>
    <row r="383">
      <c r="M383" s="59"/>
      <c r="O383" s="60"/>
      <c r="Q383" s="13"/>
      <c r="R383" s="14"/>
      <c r="S383" s="14"/>
      <c r="T383" s="14"/>
      <c r="U383" s="14"/>
      <c r="V383" s="14"/>
      <c r="W383" s="14"/>
      <c r="X383" s="15"/>
      <c r="Y383" s="14"/>
      <c r="Z383" s="16"/>
      <c r="AA383" s="14"/>
      <c r="AB383" s="14"/>
      <c r="AC383" s="14"/>
      <c r="AD383" s="14"/>
      <c r="AE383" s="14"/>
      <c r="AF383" s="14"/>
      <c r="AG383" s="14"/>
      <c r="AH383" s="14"/>
    </row>
    <row r="384">
      <c r="M384" s="59"/>
      <c r="O384" s="60"/>
      <c r="Q384" s="13"/>
      <c r="R384" s="14"/>
      <c r="S384" s="14"/>
      <c r="T384" s="14"/>
      <c r="U384" s="14"/>
      <c r="V384" s="14"/>
      <c r="W384" s="14"/>
      <c r="X384" s="15"/>
      <c r="Y384" s="14"/>
      <c r="Z384" s="16"/>
      <c r="AA384" s="14"/>
      <c r="AB384" s="14"/>
      <c r="AC384" s="14"/>
      <c r="AD384" s="14"/>
      <c r="AE384" s="14"/>
      <c r="AF384" s="14"/>
      <c r="AG384" s="14"/>
      <c r="AH384" s="14"/>
    </row>
    <row r="385">
      <c r="M385" s="59"/>
      <c r="O385" s="60"/>
      <c r="Q385" s="13"/>
      <c r="R385" s="14"/>
      <c r="S385" s="14"/>
      <c r="T385" s="14"/>
      <c r="U385" s="14"/>
      <c r="V385" s="14"/>
      <c r="W385" s="14"/>
      <c r="X385" s="15"/>
      <c r="Y385" s="14"/>
      <c r="Z385" s="16"/>
      <c r="AA385" s="14"/>
      <c r="AB385" s="14"/>
      <c r="AC385" s="14"/>
      <c r="AD385" s="14"/>
      <c r="AE385" s="14"/>
      <c r="AF385" s="14"/>
      <c r="AG385" s="14"/>
      <c r="AH385" s="14"/>
    </row>
    <row r="386">
      <c r="M386" s="59"/>
      <c r="O386" s="60"/>
      <c r="Q386" s="13"/>
      <c r="R386" s="14"/>
      <c r="S386" s="14"/>
      <c r="T386" s="14"/>
      <c r="U386" s="14"/>
      <c r="V386" s="14"/>
      <c r="W386" s="14"/>
      <c r="X386" s="15"/>
      <c r="Y386" s="14"/>
      <c r="Z386" s="16"/>
      <c r="AA386" s="14"/>
      <c r="AB386" s="14"/>
      <c r="AC386" s="14"/>
      <c r="AD386" s="14"/>
      <c r="AE386" s="14"/>
      <c r="AF386" s="14"/>
      <c r="AG386" s="14"/>
      <c r="AH386" s="14"/>
    </row>
    <row r="387">
      <c r="M387" s="59"/>
      <c r="O387" s="60"/>
      <c r="Q387" s="13"/>
      <c r="R387" s="14"/>
      <c r="S387" s="14"/>
      <c r="T387" s="14"/>
      <c r="U387" s="14"/>
      <c r="V387" s="14"/>
      <c r="W387" s="14"/>
      <c r="X387" s="15"/>
      <c r="Y387" s="14"/>
      <c r="Z387" s="16"/>
      <c r="AA387" s="14"/>
      <c r="AB387" s="14"/>
      <c r="AC387" s="14"/>
      <c r="AD387" s="14"/>
      <c r="AE387" s="14"/>
      <c r="AF387" s="14"/>
      <c r="AG387" s="14"/>
      <c r="AH387" s="14"/>
    </row>
    <row r="388">
      <c r="M388" s="59"/>
      <c r="O388" s="60"/>
      <c r="Q388" s="13"/>
      <c r="R388" s="14"/>
      <c r="S388" s="14"/>
      <c r="T388" s="14"/>
      <c r="U388" s="14"/>
      <c r="V388" s="14"/>
      <c r="W388" s="14"/>
      <c r="X388" s="15"/>
      <c r="Y388" s="14"/>
      <c r="Z388" s="16"/>
      <c r="AA388" s="14"/>
      <c r="AB388" s="14"/>
      <c r="AC388" s="14"/>
      <c r="AD388" s="14"/>
      <c r="AE388" s="14"/>
      <c r="AF388" s="14"/>
      <c r="AG388" s="14"/>
      <c r="AH388" s="14"/>
    </row>
    <row r="389">
      <c r="M389" s="59"/>
      <c r="O389" s="60"/>
      <c r="Q389" s="13"/>
      <c r="R389" s="14"/>
      <c r="S389" s="14"/>
      <c r="T389" s="14"/>
      <c r="U389" s="14"/>
      <c r="V389" s="14"/>
      <c r="W389" s="14"/>
      <c r="X389" s="15"/>
      <c r="Y389" s="14"/>
      <c r="Z389" s="16"/>
      <c r="AA389" s="14"/>
      <c r="AB389" s="14"/>
      <c r="AC389" s="14"/>
      <c r="AD389" s="14"/>
      <c r="AE389" s="14"/>
      <c r="AF389" s="14"/>
      <c r="AG389" s="14"/>
      <c r="AH389" s="14"/>
    </row>
    <row r="390">
      <c r="M390" s="59"/>
      <c r="O390" s="60"/>
      <c r="Q390" s="13"/>
      <c r="R390" s="14"/>
      <c r="S390" s="14"/>
      <c r="T390" s="14"/>
      <c r="U390" s="14"/>
      <c r="V390" s="14"/>
      <c r="W390" s="14"/>
      <c r="X390" s="15"/>
      <c r="Y390" s="14"/>
      <c r="Z390" s="16"/>
      <c r="AA390" s="14"/>
      <c r="AB390" s="14"/>
      <c r="AC390" s="14"/>
      <c r="AD390" s="14"/>
      <c r="AE390" s="14"/>
      <c r="AF390" s="14"/>
      <c r="AG390" s="14"/>
      <c r="AH390" s="14"/>
    </row>
    <row r="391">
      <c r="M391" s="59"/>
      <c r="O391" s="60"/>
      <c r="Q391" s="13"/>
      <c r="R391" s="14"/>
      <c r="S391" s="14"/>
      <c r="T391" s="14"/>
      <c r="U391" s="14"/>
      <c r="V391" s="14"/>
      <c r="W391" s="14"/>
      <c r="X391" s="15"/>
      <c r="Y391" s="14"/>
      <c r="Z391" s="16"/>
      <c r="AA391" s="14"/>
      <c r="AB391" s="14"/>
      <c r="AC391" s="14"/>
      <c r="AD391" s="14"/>
      <c r="AE391" s="14"/>
      <c r="AF391" s="14"/>
      <c r="AG391" s="14"/>
      <c r="AH391" s="14"/>
    </row>
    <row r="392">
      <c r="M392" s="59"/>
      <c r="O392" s="60"/>
      <c r="Q392" s="13"/>
      <c r="R392" s="14"/>
      <c r="S392" s="14"/>
      <c r="T392" s="14"/>
      <c r="U392" s="14"/>
      <c r="V392" s="14"/>
      <c r="W392" s="14"/>
      <c r="X392" s="15"/>
      <c r="Y392" s="14"/>
      <c r="Z392" s="16"/>
      <c r="AA392" s="14"/>
      <c r="AB392" s="14"/>
      <c r="AC392" s="14"/>
      <c r="AD392" s="14"/>
      <c r="AE392" s="14"/>
      <c r="AF392" s="14"/>
      <c r="AG392" s="14"/>
      <c r="AH392" s="14"/>
    </row>
    <row r="393">
      <c r="M393" s="59"/>
      <c r="O393" s="60"/>
      <c r="Q393" s="13"/>
      <c r="R393" s="14"/>
      <c r="S393" s="14"/>
      <c r="T393" s="14"/>
      <c r="U393" s="14"/>
      <c r="V393" s="14"/>
      <c r="W393" s="14"/>
      <c r="X393" s="15"/>
      <c r="Y393" s="14"/>
      <c r="Z393" s="16"/>
      <c r="AA393" s="14"/>
      <c r="AB393" s="14"/>
      <c r="AC393" s="14"/>
      <c r="AD393" s="14"/>
      <c r="AE393" s="14"/>
      <c r="AF393" s="14"/>
      <c r="AG393" s="14"/>
      <c r="AH393" s="14"/>
    </row>
    <row r="394">
      <c r="M394" s="59"/>
      <c r="O394" s="60"/>
      <c r="Q394" s="13"/>
      <c r="R394" s="14"/>
      <c r="S394" s="14"/>
      <c r="T394" s="14"/>
      <c r="U394" s="14"/>
      <c r="V394" s="14"/>
      <c r="W394" s="14"/>
      <c r="X394" s="15"/>
      <c r="Y394" s="14"/>
      <c r="Z394" s="16"/>
      <c r="AA394" s="14"/>
      <c r="AB394" s="14"/>
      <c r="AC394" s="14"/>
      <c r="AD394" s="14"/>
      <c r="AE394" s="14"/>
      <c r="AF394" s="14"/>
      <c r="AG394" s="14"/>
      <c r="AH394" s="14"/>
    </row>
    <row r="395">
      <c r="M395" s="59"/>
      <c r="O395" s="60"/>
      <c r="Q395" s="13"/>
      <c r="R395" s="14"/>
      <c r="S395" s="14"/>
      <c r="T395" s="14"/>
      <c r="U395" s="14"/>
      <c r="V395" s="14"/>
      <c r="W395" s="14"/>
      <c r="X395" s="15"/>
      <c r="Y395" s="14"/>
      <c r="Z395" s="16"/>
      <c r="AA395" s="14"/>
      <c r="AB395" s="14"/>
      <c r="AC395" s="14"/>
      <c r="AD395" s="14"/>
      <c r="AE395" s="14"/>
      <c r="AF395" s="14"/>
      <c r="AG395" s="14"/>
      <c r="AH395" s="14"/>
    </row>
    <row r="396">
      <c r="M396" s="59"/>
      <c r="O396" s="60"/>
      <c r="Q396" s="13"/>
      <c r="R396" s="14"/>
      <c r="S396" s="14"/>
      <c r="T396" s="14"/>
      <c r="U396" s="14"/>
      <c r="V396" s="14"/>
      <c r="W396" s="14"/>
      <c r="X396" s="15"/>
      <c r="Y396" s="14"/>
      <c r="Z396" s="16"/>
      <c r="AA396" s="14"/>
      <c r="AB396" s="14"/>
      <c r="AC396" s="14"/>
      <c r="AD396" s="14"/>
      <c r="AE396" s="14"/>
      <c r="AF396" s="14"/>
      <c r="AG396" s="14"/>
      <c r="AH396" s="14"/>
    </row>
    <row r="397">
      <c r="M397" s="59"/>
      <c r="O397" s="60"/>
      <c r="Q397" s="13"/>
      <c r="R397" s="14"/>
      <c r="S397" s="14"/>
      <c r="T397" s="14"/>
      <c r="U397" s="14"/>
      <c r="V397" s="14"/>
      <c r="W397" s="14"/>
      <c r="X397" s="15"/>
      <c r="Y397" s="14"/>
      <c r="Z397" s="16"/>
      <c r="AA397" s="14"/>
      <c r="AB397" s="14"/>
      <c r="AC397" s="14"/>
      <c r="AD397" s="14"/>
      <c r="AE397" s="14"/>
      <c r="AF397" s="14"/>
      <c r="AG397" s="14"/>
      <c r="AH397" s="14"/>
    </row>
    <row r="398">
      <c r="M398" s="59"/>
      <c r="O398" s="60"/>
      <c r="Q398" s="13"/>
      <c r="R398" s="14"/>
      <c r="S398" s="14"/>
      <c r="T398" s="14"/>
      <c r="U398" s="14"/>
      <c r="V398" s="14"/>
      <c r="W398" s="14"/>
      <c r="X398" s="15"/>
      <c r="Y398" s="14"/>
      <c r="Z398" s="16"/>
      <c r="AA398" s="14"/>
      <c r="AB398" s="14"/>
      <c r="AC398" s="14"/>
      <c r="AD398" s="14"/>
      <c r="AE398" s="14"/>
      <c r="AF398" s="14"/>
      <c r="AG398" s="14"/>
      <c r="AH398" s="14"/>
    </row>
    <row r="399">
      <c r="M399" s="59"/>
      <c r="O399" s="60"/>
      <c r="Q399" s="13"/>
      <c r="R399" s="14"/>
      <c r="S399" s="14"/>
      <c r="T399" s="14"/>
      <c r="U399" s="14"/>
      <c r="V399" s="14"/>
      <c r="W399" s="14"/>
      <c r="X399" s="15"/>
      <c r="Y399" s="14"/>
      <c r="Z399" s="16"/>
      <c r="AA399" s="14"/>
      <c r="AB399" s="14"/>
      <c r="AC399" s="14"/>
      <c r="AD399" s="14"/>
      <c r="AE399" s="14"/>
      <c r="AF399" s="14"/>
      <c r="AG399" s="14"/>
      <c r="AH399" s="14"/>
    </row>
    <row r="400">
      <c r="M400" s="59"/>
      <c r="O400" s="60"/>
      <c r="Q400" s="13"/>
      <c r="R400" s="14"/>
      <c r="S400" s="14"/>
      <c r="T400" s="14"/>
      <c r="U400" s="14"/>
      <c r="V400" s="14"/>
      <c r="W400" s="14"/>
      <c r="X400" s="15"/>
      <c r="Y400" s="14"/>
      <c r="Z400" s="16"/>
      <c r="AA400" s="14"/>
      <c r="AB400" s="14"/>
      <c r="AC400" s="14"/>
      <c r="AD400" s="14"/>
      <c r="AE400" s="14"/>
      <c r="AF400" s="14"/>
      <c r="AG400" s="14"/>
      <c r="AH400" s="14"/>
    </row>
    <row r="401">
      <c r="M401" s="59"/>
      <c r="O401" s="60"/>
      <c r="Q401" s="13"/>
      <c r="R401" s="14"/>
      <c r="S401" s="14"/>
      <c r="T401" s="14"/>
      <c r="U401" s="14"/>
      <c r="V401" s="14"/>
      <c r="W401" s="14"/>
      <c r="X401" s="15"/>
      <c r="Y401" s="14"/>
      <c r="Z401" s="16"/>
      <c r="AA401" s="14"/>
      <c r="AB401" s="14"/>
      <c r="AC401" s="14"/>
      <c r="AD401" s="14"/>
      <c r="AE401" s="14"/>
      <c r="AF401" s="14"/>
      <c r="AG401" s="14"/>
      <c r="AH401" s="14"/>
    </row>
    <row r="402">
      <c r="M402" s="59"/>
      <c r="O402" s="60"/>
      <c r="Q402" s="13"/>
      <c r="R402" s="14"/>
      <c r="S402" s="14"/>
      <c r="T402" s="14"/>
      <c r="U402" s="14"/>
      <c r="V402" s="14"/>
      <c r="W402" s="14"/>
      <c r="X402" s="15"/>
      <c r="Y402" s="14"/>
      <c r="Z402" s="16"/>
      <c r="AA402" s="14"/>
      <c r="AB402" s="14"/>
      <c r="AC402" s="14"/>
      <c r="AD402" s="14"/>
      <c r="AE402" s="14"/>
      <c r="AF402" s="14"/>
      <c r="AG402" s="14"/>
      <c r="AH402" s="14"/>
    </row>
    <row r="403">
      <c r="M403" s="59"/>
      <c r="O403" s="60"/>
      <c r="Q403" s="13"/>
      <c r="R403" s="14"/>
      <c r="S403" s="14"/>
      <c r="T403" s="14"/>
      <c r="U403" s="14"/>
      <c r="V403" s="14"/>
      <c r="W403" s="14"/>
      <c r="X403" s="15"/>
      <c r="Y403" s="14"/>
      <c r="Z403" s="16"/>
      <c r="AA403" s="14"/>
      <c r="AB403" s="14"/>
      <c r="AC403" s="14"/>
      <c r="AD403" s="14"/>
      <c r="AE403" s="14"/>
      <c r="AF403" s="14"/>
      <c r="AG403" s="14"/>
      <c r="AH403" s="14"/>
    </row>
    <row r="404">
      <c r="M404" s="59"/>
      <c r="O404" s="60"/>
      <c r="Q404" s="13"/>
      <c r="R404" s="14"/>
      <c r="S404" s="14"/>
      <c r="T404" s="14"/>
      <c r="U404" s="14"/>
      <c r="V404" s="14"/>
      <c r="W404" s="14"/>
      <c r="X404" s="15"/>
      <c r="Y404" s="14"/>
      <c r="Z404" s="16"/>
      <c r="AA404" s="14"/>
      <c r="AB404" s="14"/>
      <c r="AC404" s="14"/>
      <c r="AD404" s="14"/>
      <c r="AE404" s="14"/>
      <c r="AF404" s="14"/>
      <c r="AG404" s="14"/>
      <c r="AH404" s="14"/>
    </row>
    <row r="405">
      <c r="M405" s="59"/>
      <c r="O405" s="60"/>
      <c r="Q405" s="13"/>
      <c r="R405" s="14"/>
      <c r="S405" s="14"/>
      <c r="T405" s="14"/>
      <c r="U405" s="14"/>
      <c r="V405" s="14"/>
      <c r="W405" s="14"/>
      <c r="X405" s="15"/>
      <c r="Y405" s="14"/>
      <c r="Z405" s="16"/>
      <c r="AA405" s="14"/>
      <c r="AB405" s="14"/>
      <c r="AC405" s="14"/>
      <c r="AD405" s="14"/>
      <c r="AE405" s="14"/>
      <c r="AF405" s="14"/>
      <c r="AG405" s="14"/>
      <c r="AH405" s="14"/>
    </row>
    <row r="406">
      <c r="M406" s="59"/>
      <c r="O406" s="60"/>
      <c r="Q406" s="13"/>
      <c r="R406" s="14"/>
      <c r="S406" s="14"/>
      <c r="T406" s="14"/>
      <c r="U406" s="14"/>
      <c r="V406" s="14"/>
      <c r="W406" s="14"/>
      <c r="X406" s="15"/>
      <c r="Y406" s="14"/>
      <c r="Z406" s="16"/>
      <c r="AA406" s="14"/>
      <c r="AB406" s="14"/>
      <c r="AC406" s="14"/>
      <c r="AD406" s="14"/>
      <c r="AE406" s="14"/>
      <c r="AF406" s="14"/>
      <c r="AG406" s="14"/>
      <c r="AH406" s="14"/>
    </row>
    <row r="407">
      <c r="M407" s="59"/>
      <c r="O407" s="60"/>
      <c r="Q407" s="13"/>
      <c r="R407" s="14"/>
      <c r="S407" s="14"/>
      <c r="T407" s="14"/>
      <c r="U407" s="14"/>
      <c r="V407" s="14"/>
      <c r="W407" s="14"/>
      <c r="X407" s="15"/>
      <c r="Y407" s="14"/>
      <c r="Z407" s="16"/>
      <c r="AA407" s="14"/>
      <c r="AB407" s="14"/>
      <c r="AC407" s="14"/>
      <c r="AD407" s="14"/>
      <c r="AE407" s="14"/>
      <c r="AF407" s="14"/>
      <c r="AG407" s="14"/>
      <c r="AH407" s="14"/>
    </row>
    <row r="408">
      <c r="M408" s="59"/>
      <c r="O408" s="60"/>
      <c r="Q408" s="13"/>
      <c r="R408" s="14"/>
      <c r="S408" s="14"/>
      <c r="T408" s="14"/>
      <c r="U408" s="14"/>
      <c r="V408" s="14"/>
      <c r="W408" s="14"/>
      <c r="X408" s="15"/>
      <c r="Y408" s="14"/>
      <c r="Z408" s="16"/>
      <c r="AA408" s="14"/>
      <c r="AB408" s="14"/>
      <c r="AC408" s="14"/>
      <c r="AD408" s="14"/>
      <c r="AE408" s="14"/>
      <c r="AF408" s="14"/>
      <c r="AG408" s="14"/>
      <c r="AH408" s="14"/>
    </row>
    <row r="409">
      <c r="M409" s="59"/>
      <c r="O409" s="60"/>
      <c r="Q409" s="13"/>
      <c r="R409" s="14"/>
      <c r="S409" s="14"/>
      <c r="T409" s="14"/>
      <c r="U409" s="14"/>
      <c r="V409" s="14"/>
      <c r="W409" s="14"/>
      <c r="X409" s="15"/>
      <c r="Y409" s="14"/>
      <c r="Z409" s="16"/>
      <c r="AA409" s="14"/>
      <c r="AB409" s="14"/>
      <c r="AC409" s="14"/>
      <c r="AD409" s="14"/>
      <c r="AE409" s="14"/>
      <c r="AF409" s="14"/>
      <c r="AG409" s="14"/>
      <c r="AH409" s="14"/>
    </row>
    <row r="410">
      <c r="M410" s="59"/>
      <c r="O410" s="60"/>
      <c r="Q410" s="13"/>
      <c r="R410" s="14"/>
      <c r="S410" s="14"/>
      <c r="T410" s="14"/>
      <c r="U410" s="14"/>
      <c r="V410" s="14"/>
      <c r="W410" s="14"/>
      <c r="X410" s="15"/>
      <c r="Y410" s="14"/>
      <c r="Z410" s="16"/>
      <c r="AA410" s="14"/>
      <c r="AB410" s="14"/>
      <c r="AC410" s="14"/>
      <c r="AD410" s="14"/>
      <c r="AE410" s="14"/>
      <c r="AF410" s="14"/>
      <c r="AG410" s="14"/>
      <c r="AH410" s="14"/>
    </row>
    <row r="411">
      <c r="M411" s="59"/>
      <c r="O411" s="60"/>
      <c r="Q411" s="13"/>
      <c r="R411" s="14"/>
      <c r="S411" s="14"/>
      <c r="T411" s="14"/>
      <c r="U411" s="14"/>
      <c r="V411" s="14"/>
      <c r="W411" s="14"/>
      <c r="X411" s="15"/>
      <c r="Y411" s="14"/>
      <c r="Z411" s="16"/>
      <c r="AA411" s="14"/>
      <c r="AB411" s="14"/>
      <c r="AC411" s="14"/>
      <c r="AD411" s="14"/>
      <c r="AE411" s="14"/>
      <c r="AF411" s="14"/>
      <c r="AG411" s="14"/>
      <c r="AH411" s="14"/>
    </row>
    <row r="412">
      <c r="M412" s="59"/>
      <c r="O412" s="60"/>
      <c r="Q412" s="13"/>
      <c r="R412" s="14"/>
      <c r="S412" s="14"/>
      <c r="T412" s="14"/>
      <c r="U412" s="14"/>
      <c r="V412" s="14"/>
      <c r="W412" s="14"/>
      <c r="X412" s="15"/>
      <c r="Y412" s="14"/>
      <c r="Z412" s="16"/>
      <c r="AA412" s="14"/>
      <c r="AB412" s="14"/>
      <c r="AC412" s="14"/>
      <c r="AD412" s="14"/>
      <c r="AE412" s="14"/>
      <c r="AF412" s="14"/>
      <c r="AG412" s="14"/>
      <c r="AH412" s="14"/>
    </row>
    <row r="413">
      <c r="M413" s="59"/>
      <c r="O413" s="60"/>
      <c r="Q413" s="13"/>
      <c r="R413" s="14"/>
      <c r="S413" s="14"/>
      <c r="T413" s="14"/>
      <c r="U413" s="14"/>
      <c r="V413" s="14"/>
      <c r="W413" s="14"/>
      <c r="X413" s="15"/>
      <c r="Y413" s="14"/>
      <c r="Z413" s="16"/>
      <c r="AA413" s="14"/>
      <c r="AB413" s="14"/>
      <c r="AC413" s="14"/>
      <c r="AD413" s="14"/>
      <c r="AE413" s="14"/>
      <c r="AF413" s="14"/>
      <c r="AG413" s="14"/>
      <c r="AH413" s="14"/>
    </row>
    <row r="414">
      <c r="M414" s="59"/>
      <c r="O414" s="60"/>
      <c r="Q414" s="13"/>
      <c r="R414" s="14"/>
      <c r="S414" s="14"/>
      <c r="T414" s="14"/>
      <c r="U414" s="14"/>
      <c r="V414" s="14"/>
      <c r="W414" s="14"/>
      <c r="X414" s="15"/>
      <c r="Y414" s="14"/>
      <c r="Z414" s="16"/>
      <c r="AA414" s="14"/>
      <c r="AB414" s="14"/>
      <c r="AC414" s="14"/>
      <c r="AD414" s="14"/>
      <c r="AE414" s="14"/>
      <c r="AF414" s="14"/>
      <c r="AG414" s="14"/>
      <c r="AH414" s="14"/>
    </row>
    <row r="415">
      <c r="M415" s="59"/>
      <c r="O415" s="60"/>
      <c r="Q415" s="13"/>
      <c r="R415" s="14"/>
      <c r="S415" s="14"/>
      <c r="T415" s="14"/>
      <c r="U415" s="14"/>
      <c r="V415" s="14"/>
      <c r="W415" s="14"/>
      <c r="X415" s="15"/>
      <c r="Y415" s="14"/>
      <c r="Z415" s="16"/>
      <c r="AA415" s="14"/>
      <c r="AB415" s="14"/>
      <c r="AC415" s="14"/>
      <c r="AD415" s="14"/>
      <c r="AE415" s="14"/>
      <c r="AF415" s="14"/>
      <c r="AG415" s="14"/>
      <c r="AH415" s="14"/>
    </row>
    <row r="416">
      <c r="M416" s="59"/>
      <c r="O416" s="60"/>
      <c r="Q416" s="13"/>
      <c r="R416" s="14"/>
      <c r="S416" s="14"/>
      <c r="T416" s="14"/>
      <c r="U416" s="14"/>
      <c r="V416" s="14"/>
      <c r="W416" s="14"/>
      <c r="X416" s="15"/>
      <c r="Y416" s="14"/>
      <c r="Z416" s="16"/>
      <c r="AA416" s="14"/>
      <c r="AB416" s="14"/>
      <c r="AC416" s="14"/>
      <c r="AD416" s="14"/>
      <c r="AE416" s="14"/>
      <c r="AF416" s="14"/>
      <c r="AG416" s="14"/>
      <c r="AH416" s="14"/>
    </row>
    <row r="417">
      <c r="M417" s="59"/>
      <c r="O417" s="60"/>
      <c r="Q417" s="13"/>
      <c r="R417" s="14"/>
      <c r="S417" s="14"/>
      <c r="T417" s="14"/>
      <c r="U417" s="14"/>
      <c r="V417" s="14"/>
      <c r="W417" s="14"/>
      <c r="X417" s="15"/>
      <c r="Y417" s="14"/>
      <c r="Z417" s="16"/>
      <c r="AA417" s="14"/>
      <c r="AB417" s="14"/>
      <c r="AC417" s="14"/>
      <c r="AD417" s="14"/>
      <c r="AE417" s="14"/>
      <c r="AF417" s="14"/>
      <c r="AG417" s="14"/>
      <c r="AH417" s="14"/>
    </row>
    <row r="418">
      <c r="M418" s="59"/>
      <c r="O418" s="60"/>
      <c r="Q418" s="13"/>
      <c r="R418" s="14"/>
      <c r="S418" s="14"/>
      <c r="T418" s="14"/>
      <c r="U418" s="14"/>
      <c r="V418" s="14"/>
      <c r="W418" s="14"/>
      <c r="X418" s="15"/>
      <c r="Y418" s="14"/>
      <c r="Z418" s="16"/>
      <c r="AA418" s="14"/>
      <c r="AB418" s="14"/>
      <c r="AC418" s="14"/>
      <c r="AD418" s="14"/>
      <c r="AE418" s="14"/>
      <c r="AF418" s="14"/>
      <c r="AG418" s="14"/>
      <c r="AH418" s="14"/>
    </row>
    <row r="419">
      <c r="M419" s="59"/>
      <c r="O419" s="60"/>
      <c r="Q419" s="13"/>
      <c r="R419" s="14"/>
      <c r="S419" s="14"/>
      <c r="T419" s="14"/>
      <c r="U419" s="14"/>
      <c r="V419" s="14"/>
      <c r="W419" s="14"/>
      <c r="X419" s="15"/>
      <c r="Y419" s="14"/>
      <c r="Z419" s="16"/>
      <c r="AA419" s="14"/>
      <c r="AB419" s="14"/>
      <c r="AC419" s="14"/>
      <c r="AD419" s="14"/>
      <c r="AE419" s="14"/>
      <c r="AF419" s="14"/>
      <c r="AG419" s="14"/>
      <c r="AH419" s="14"/>
    </row>
    <row r="420">
      <c r="M420" s="59"/>
      <c r="O420" s="60"/>
      <c r="Q420" s="13"/>
      <c r="R420" s="14"/>
      <c r="S420" s="14"/>
      <c r="T420" s="14"/>
      <c r="U420" s="14"/>
      <c r="V420" s="14"/>
      <c r="W420" s="14"/>
      <c r="X420" s="15"/>
      <c r="Y420" s="14"/>
      <c r="Z420" s="16"/>
      <c r="AA420" s="14"/>
      <c r="AB420" s="14"/>
      <c r="AC420" s="14"/>
      <c r="AD420" s="14"/>
      <c r="AE420" s="14"/>
      <c r="AF420" s="14"/>
      <c r="AG420" s="14"/>
      <c r="AH420" s="14"/>
    </row>
    <row r="421">
      <c r="M421" s="59"/>
      <c r="O421" s="60"/>
      <c r="Q421" s="13"/>
      <c r="R421" s="14"/>
      <c r="S421" s="14"/>
      <c r="T421" s="14"/>
      <c r="U421" s="14"/>
      <c r="V421" s="14"/>
      <c r="W421" s="14"/>
      <c r="X421" s="15"/>
      <c r="Y421" s="14"/>
      <c r="Z421" s="16"/>
      <c r="AA421" s="14"/>
      <c r="AB421" s="14"/>
      <c r="AC421" s="14"/>
      <c r="AD421" s="14"/>
      <c r="AE421" s="14"/>
      <c r="AF421" s="14"/>
      <c r="AG421" s="14"/>
      <c r="AH421" s="14"/>
    </row>
    <row r="422">
      <c r="M422" s="59"/>
      <c r="O422" s="60"/>
      <c r="Q422" s="13"/>
      <c r="R422" s="14"/>
      <c r="S422" s="14"/>
      <c r="T422" s="14"/>
      <c r="U422" s="14"/>
      <c r="V422" s="14"/>
      <c r="W422" s="14"/>
      <c r="X422" s="15"/>
      <c r="Y422" s="14"/>
      <c r="Z422" s="16"/>
      <c r="AA422" s="14"/>
      <c r="AB422" s="14"/>
      <c r="AC422" s="14"/>
      <c r="AD422" s="14"/>
      <c r="AE422" s="14"/>
      <c r="AF422" s="14"/>
      <c r="AG422" s="14"/>
      <c r="AH422" s="14"/>
    </row>
    <row r="423">
      <c r="M423" s="59"/>
      <c r="O423" s="60"/>
      <c r="Q423" s="13"/>
      <c r="R423" s="14"/>
      <c r="S423" s="14"/>
      <c r="T423" s="14"/>
      <c r="U423" s="14"/>
      <c r="V423" s="14"/>
      <c r="W423" s="14"/>
      <c r="X423" s="15"/>
      <c r="Y423" s="14"/>
      <c r="Z423" s="16"/>
      <c r="AA423" s="14"/>
      <c r="AB423" s="14"/>
      <c r="AC423" s="14"/>
      <c r="AD423" s="14"/>
      <c r="AE423" s="14"/>
      <c r="AF423" s="14"/>
      <c r="AG423" s="14"/>
      <c r="AH423" s="14"/>
    </row>
    <row r="424">
      <c r="M424" s="59"/>
      <c r="O424" s="60"/>
      <c r="Q424" s="13"/>
      <c r="R424" s="14"/>
      <c r="S424" s="14"/>
      <c r="T424" s="14"/>
      <c r="U424" s="14"/>
      <c r="V424" s="14"/>
      <c r="W424" s="14"/>
      <c r="X424" s="15"/>
      <c r="Y424" s="14"/>
      <c r="Z424" s="16"/>
      <c r="AA424" s="14"/>
      <c r="AB424" s="14"/>
      <c r="AC424" s="14"/>
      <c r="AD424" s="14"/>
      <c r="AE424" s="14"/>
      <c r="AF424" s="14"/>
      <c r="AG424" s="14"/>
      <c r="AH424" s="14"/>
    </row>
    <row r="425">
      <c r="M425" s="59"/>
      <c r="O425" s="60"/>
      <c r="Q425" s="13"/>
      <c r="R425" s="14"/>
      <c r="S425" s="14"/>
      <c r="T425" s="14"/>
      <c r="U425" s="14"/>
      <c r="V425" s="14"/>
      <c r="W425" s="14"/>
      <c r="X425" s="15"/>
      <c r="Y425" s="14"/>
      <c r="Z425" s="16"/>
      <c r="AA425" s="14"/>
      <c r="AB425" s="14"/>
      <c r="AC425" s="14"/>
      <c r="AD425" s="14"/>
      <c r="AE425" s="14"/>
      <c r="AF425" s="14"/>
      <c r="AG425" s="14"/>
      <c r="AH425" s="14"/>
    </row>
    <row r="426">
      <c r="M426" s="59"/>
      <c r="O426" s="60"/>
      <c r="Q426" s="13"/>
      <c r="R426" s="14"/>
      <c r="S426" s="14"/>
      <c r="T426" s="14"/>
      <c r="U426" s="14"/>
      <c r="V426" s="14"/>
      <c r="W426" s="14"/>
      <c r="X426" s="15"/>
      <c r="Y426" s="14"/>
      <c r="Z426" s="16"/>
      <c r="AA426" s="14"/>
      <c r="AB426" s="14"/>
      <c r="AC426" s="14"/>
      <c r="AD426" s="14"/>
      <c r="AE426" s="14"/>
      <c r="AF426" s="14"/>
      <c r="AG426" s="14"/>
      <c r="AH426" s="14"/>
    </row>
    <row r="427">
      <c r="M427" s="59"/>
      <c r="O427" s="60"/>
      <c r="Q427" s="13"/>
      <c r="R427" s="14"/>
      <c r="S427" s="14"/>
      <c r="T427" s="14"/>
      <c r="U427" s="14"/>
      <c r="V427" s="14"/>
      <c r="W427" s="14"/>
      <c r="X427" s="15"/>
      <c r="Y427" s="14"/>
      <c r="Z427" s="16"/>
      <c r="AA427" s="14"/>
      <c r="AB427" s="14"/>
      <c r="AC427" s="14"/>
      <c r="AD427" s="14"/>
      <c r="AE427" s="14"/>
      <c r="AF427" s="14"/>
      <c r="AG427" s="14"/>
      <c r="AH427" s="14"/>
    </row>
    <row r="428">
      <c r="M428" s="59"/>
      <c r="O428" s="60"/>
      <c r="Q428" s="13"/>
      <c r="R428" s="14"/>
      <c r="S428" s="14"/>
      <c r="T428" s="14"/>
      <c r="U428" s="14"/>
      <c r="V428" s="14"/>
      <c r="W428" s="14"/>
      <c r="X428" s="15"/>
      <c r="Y428" s="14"/>
      <c r="Z428" s="16"/>
      <c r="AA428" s="14"/>
      <c r="AB428" s="14"/>
      <c r="AC428" s="14"/>
      <c r="AD428" s="14"/>
      <c r="AE428" s="14"/>
      <c r="AF428" s="14"/>
      <c r="AG428" s="14"/>
      <c r="AH428" s="14"/>
    </row>
    <row r="429">
      <c r="M429" s="59"/>
      <c r="O429" s="60"/>
      <c r="Q429" s="13"/>
      <c r="R429" s="14"/>
      <c r="S429" s="14"/>
      <c r="T429" s="14"/>
      <c r="U429" s="14"/>
      <c r="V429" s="14"/>
      <c r="W429" s="14"/>
      <c r="X429" s="15"/>
      <c r="Y429" s="14"/>
      <c r="Z429" s="16"/>
      <c r="AA429" s="14"/>
      <c r="AB429" s="14"/>
      <c r="AC429" s="14"/>
      <c r="AD429" s="14"/>
      <c r="AE429" s="14"/>
      <c r="AF429" s="14"/>
      <c r="AG429" s="14"/>
      <c r="AH429" s="14"/>
    </row>
    <row r="430">
      <c r="M430" s="59"/>
      <c r="O430" s="60"/>
      <c r="Q430" s="13"/>
      <c r="R430" s="14"/>
      <c r="S430" s="14"/>
      <c r="T430" s="14"/>
      <c r="U430" s="14"/>
      <c r="V430" s="14"/>
      <c r="W430" s="14"/>
      <c r="X430" s="15"/>
      <c r="Y430" s="14"/>
      <c r="Z430" s="16"/>
      <c r="AA430" s="14"/>
      <c r="AB430" s="14"/>
      <c r="AC430" s="14"/>
      <c r="AD430" s="14"/>
      <c r="AE430" s="14"/>
      <c r="AF430" s="14"/>
      <c r="AG430" s="14"/>
      <c r="AH430" s="14"/>
    </row>
    <row r="431">
      <c r="M431" s="59"/>
      <c r="O431" s="60"/>
      <c r="Q431" s="13"/>
      <c r="R431" s="14"/>
      <c r="S431" s="14"/>
      <c r="T431" s="14"/>
      <c r="U431" s="14"/>
      <c r="V431" s="14"/>
      <c r="W431" s="14"/>
      <c r="X431" s="15"/>
      <c r="Y431" s="14"/>
      <c r="Z431" s="16"/>
      <c r="AA431" s="14"/>
      <c r="AB431" s="14"/>
      <c r="AC431" s="14"/>
      <c r="AD431" s="14"/>
      <c r="AE431" s="14"/>
      <c r="AF431" s="14"/>
      <c r="AG431" s="14"/>
      <c r="AH431" s="14"/>
    </row>
    <row r="432">
      <c r="M432" s="59"/>
      <c r="O432" s="60"/>
      <c r="Q432" s="13"/>
      <c r="R432" s="14"/>
      <c r="S432" s="14"/>
      <c r="T432" s="14"/>
      <c r="U432" s="14"/>
      <c r="V432" s="14"/>
      <c r="W432" s="14"/>
      <c r="X432" s="15"/>
      <c r="Y432" s="14"/>
      <c r="Z432" s="16"/>
      <c r="AA432" s="14"/>
      <c r="AB432" s="14"/>
      <c r="AC432" s="14"/>
      <c r="AD432" s="14"/>
      <c r="AE432" s="14"/>
      <c r="AF432" s="14"/>
      <c r="AG432" s="14"/>
      <c r="AH432" s="14"/>
    </row>
    <row r="433">
      <c r="M433" s="59"/>
      <c r="O433" s="60"/>
      <c r="Q433" s="13"/>
      <c r="R433" s="14"/>
      <c r="S433" s="14"/>
      <c r="T433" s="14"/>
      <c r="U433" s="14"/>
      <c r="V433" s="14"/>
      <c r="W433" s="14"/>
      <c r="X433" s="15"/>
      <c r="Y433" s="14"/>
      <c r="Z433" s="16"/>
      <c r="AA433" s="14"/>
      <c r="AB433" s="14"/>
      <c r="AC433" s="14"/>
      <c r="AD433" s="14"/>
      <c r="AE433" s="14"/>
      <c r="AF433" s="14"/>
      <c r="AG433" s="14"/>
      <c r="AH433" s="14"/>
    </row>
    <row r="434">
      <c r="M434" s="59"/>
      <c r="O434" s="60"/>
      <c r="Q434" s="13"/>
      <c r="R434" s="14"/>
      <c r="S434" s="14"/>
      <c r="T434" s="14"/>
      <c r="U434" s="14"/>
      <c r="V434" s="14"/>
      <c r="W434" s="14"/>
      <c r="X434" s="15"/>
      <c r="Y434" s="14"/>
      <c r="Z434" s="16"/>
      <c r="AA434" s="14"/>
      <c r="AB434" s="14"/>
      <c r="AC434" s="14"/>
      <c r="AD434" s="14"/>
      <c r="AE434" s="14"/>
      <c r="AF434" s="14"/>
      <c r="AG434" s="14"/>
      <c r="AH434" s="14"/>
    </row>
    <row r="435">
      <c r="M435" s="59"/>
      <c r="O435" s="60"/>
      <c r="Q435" s="13"/>
      <c r="R435" s="14"/>
      <c r="S435" s="14"/>
      <c r="T435" s="14"/>
      <c r="U435" s="14"/>
      <c r="V435" s="14"/>
      <c r="W435" s="14"/>
      <c r="X435" s="15"/>
      <c r="Y435" s="14"/>
      <c r="Z435" s="16"/>
      <c r="AA435" s="14"/>
      <c r="AB435" s="14"/>
      <c r="AC435" s="14"/>
      <c r="AD435" s="14"/>
      <c r="AE435" s="14"/>
      <c r="AF435" s="14"/>
      <c r="AG435" s="14"/>
      <c r="AH435" s="14"/>
    </row>
    <row r="436">
      <c r="M436" s="59"/>
      <c r="O436" s="60"/>
      <c r="Q436" s="13"/>
      <c r="R436" s="14"/>
      <c r="S436" s="14"/>
      <c r="T436" s="14"/>
      <c r="U436" s="14"/>
      <c r="V436" s="14"/>
      <c r="W436" s="14"/>
      <c r="X436" s="15"/>
      <c r="Y436" s="14"/>
      <c r="Z436" s="16"/>
      <c r="AA436" s="14"/>
      <c r="AB436" s="14"/>
      <c r="AC436" s="14"/>
      <c r="AD436" s="14"/>
      <c r="AE436" s="14"/>
      <c r="AF436" s="14"/>
      <c r="AG436" s="14"/>
      <c r="AH436" s="14"/>
    </row>
    <row r="437">
      <c r="M437" s="59"/>
      <c r="O437" s="60"/>
      <c r="Q437" s="13"/>
      <c r="R437" s="14"/>
      <c r="S437" s="14"/>
      <c r="T437" s="14"/>
      <c r="U437" s="14"/>
      <c r="V437" s="14"/>
      <c r="W437" s="14"/>
      <c r="X437" s="15"/>
      <c r="Y437" s="14"/>
      <c r="Z437" s="16"/>
      <c r="AA437" s="14"/>
      <c r="AB437" s="14"/>
      <c r="AC437" s="14"/>
      <c r="AD437" s="14"/>
      <c r="AE437" s="14"/>
      <c r="AF437" s="14"/>
      <c r="AG437" s="14"/>
      <c r="AH437" s="14"/>
    </row>
    <row r="438">
      <c r="M438" s="59"/>
      <c r="O438" s="60"/>
      <c r="Q438" s="13"/>
      <c r="R438" s="14"/>
      <c r="S438" s="14"/>
      <c r="T438" s="14"/>
      <c r="U438" s="14"/>
      <c r="V438" s="14"/>
      <c r="W438" s="14"/>
      <c r="X438" s="15"/>
      <c r="Y438" s="14"/>
      <c r="Z438" s="16"/>
      <c r="AA438" s="14"/>
      <c r="AB438" s="14"/>
      <c r="AC438" s="14"/>
      <c r="AD438" s="14"/>
      <c r="AE438" s="14"/>
      <c r="AF438" s="14"/>
      <c r="AG438" s="14"/>
      <c r="AH438" s="14"/>
    </row>
    <row r="439">
      <c r="M439" s="59"/>
      <c r="O439" s="60"/>
      <c r="Q439" s="13"/>
      <c r="R439" s="14"/>
      <c r="S439" s="14"/>
      <c r="T439" s="14"/>
      <c r="U439" s="14"/>
      <c r="V439" s="14"/>
      <c r="W439" s="14"/>
      <c r="X439" s="15"/>
      <c r="Y439" s="14"/>
      <c r="Z439" s="16"/>
      <c r="AA439" s="14"/>
      <c r="AB439" s="14"/>
      <c r="AC439" s="14"/>
      <c r="AD439" s="14"/>
      <c r="AE439" s="14"/>
      <c r="AF439" s="14"/>
      <c r="AG439" s="14"/>
      <c r="AH439" s="14"/>
    </row>
    <row r="440">
      <c r="M440" s="59"/>
      <c r="O440" s="60"/>
      <c r="Q440" s="13"/>
      <c r="R440" s="14"/>
      <c r="S440" s="14"/>
      <c r="T440" s="14"/>
      <c r="U440" s="14"/>
      <c r="V440" s="14"/>
      <c r="W440" s="14"/>
      <c r="X440" s="15"/>
      <c r="Y440" s="14"/>
      <c r="Z440" s="16"/>
      <c r="AA440" s="14"/>
      <c r="AB440" s="14"/>
      <c r="AC440" s="14"/>
      <c r="AD440" s="14"/>
      <c r="AE440" s="14"/>
      <c r="AF440" s="14"/>
      <c r="AG440" s="14"/>
      <c r="AH440" s="14"/>
    </row>
    <row r="441">
      <c r="M441" s="59"/>
      <c r="O441" s="60"/>
      <c r="Q441" s="13"/>
      <c r="R441" s="14"/>
      <c r="S441" s="14"/>
      <c r="T441" s="14"/>
      <c r="U441" s="14"/>
      <c r="V441" s="14"/>
      <c r="W441" s="14"/>
      <c r="X441" s="15"/>
      <c r="Y441" s="14"/>
      <c r="Z441" s="16"/>
      <c r="AA441" s="14"/>
      <c r="AB441" s="14"/>
      <c r="AC441" s="14"/>
      <c r="AD441" s="14"/>
      <c r="AE441" s="14"/>
      <c r="AF441" s="14"/>
      <c r="AG441" s="14"/>
      <c r="AH441" s="14"/>
    </row>
    <row r="442">
      <c r="M442" s="59"/>
      <c r="O442" s="60"/>
      <c r="Q442" s="13"/>
      <c r="R442" s="14"/>
      <c r="S442" s="14"/>
      <c r="T442" s="14"/>
      <c r="U442" s="14"/>
      <c r="V442" s="14"/>
      <c r="W442" s="14"/>
      <c r="X442" s="15"/>
      <c r="Y442" s="14"/>
      <c r="Z442" s="16"/>
      <c r="AA442" s="14"/>
      <c r="AB442" s="14"/>
      <c r="AC442" s="14"/>
      <c r="AD442" s="14"/>
      <c r="AE442" s="14"/>
      <c r="AF442" s="14"/>
      <c r="AG442" s="14"/>
      <c r="AH442" s="14"/>
    </row>
    <row r="443">
      <c r="M443" s="59"/>
      <c r="O443" s="60"/>
      <c r="Q443" s="13"/>
      <c r="R443" s="14"/>
      <c r="S443" s="14"/>
      <c r="T443" s="14"/>
      <c r="U443" s="14"/>
      <c r="V443" s="14"/>
      <c r="W443" s="14"/>
      <c r="X443" s="15"/>
      <c r="Y443" s="14"/>
      <c r="Z443" s="16"/>
      <c r="AA443" s="14"/>
      <c r="AB443" s="14"/>
      <c r="AC443" s="14"/>
      <c r="AD443" s="14"/>
      <c r="AE443" s="14"/>
      <c r="AF443" s="14"/>
      <c r="AG443" s="14"/>
      <c r="AH443" s="14"/>
    </row>
    <row r="444">
      <c r="M444" s="59"/>
      <c r="O444" s="60"/>
      <c r="Q444" s="13"/>
      <c r="R444" s="14"/>
      <c r="S444" s="14"/>
      <c r="T444" s="14"/>
      <c r="U444" s="14"/>
      <c r="V444" s="14"/>
      <c r="W444" s="14"/>
      <c r="X444" s="15"/>
      <c r="Y444" s="14"/>
      <c r="Z444" s="16"/>
      <c r="AA444" s="14"/>
      <c r="AB444" s="14"/>
      <c r="AC444" s="14"/>
      <c r="AD444" s="14"/>
      <c r="AE444" s="14"/>
      <c r="AF444" s="14"/>
      <c r="AG444" s="14"/>
      <c r="AH444" s="14"/>
    </row>
    <row r="445">
      <c r="M445" s="59"/>
      <c r="O445" s="60"/>
      <c r="Q445" s="13"/>
      <c r="R445" s="14"/>
      <c r="S445" s="14"/>
      <c r="T445" s="14"/>
      <c r="U445" s="14"/>
      <c r="V445" s="14"/>
      <c r="W445" s="14"/>
      <c r="X445" s="15"/>
      <c r="Y445" s="14"/>
      <c r="Z445" s="16"/>
      <c r="AA445" s="14"/>
      <c r="AB445" s="14"/>
      <c r="AC445" s="14"/>
      <c r="AD445" s="14"/>
      <c r="AE445" s="14"/>
      <c r="AF445" s="14"/>
      <c r="AG445" s="14"/>
      <c r="AH445" s="14"/>
    </row>
    <row r="446">
      <c r="M446" s="59"/>
      <c r="O446" s="60"/>
      <c r="Q446" s="13"/>
      <c r="R446" s="14"/>
      <c r="S446" s="14"/>
      <c r="T446" s="14"/>
      <c r="U446" s="14"/>
      <c r="V446" s="14"/>
      <c r="W446" s="14"/>
      <c r="X446" s="15"/>
      <c r="Y446" s="14"/>
      <c r="Z446" s="16"/>
      <c r="AA446" s="14"/>
      <c r="AB446" s="14"/>
      <c r="AC446" s="14"/>
      <c r="AD446" s="14"/>
      <c r="AE446" s="14"/>
      <c r="AF446" s="14"/>
      <c r="AG446" s="14"/>
      <c r="AH446" s="14"/>
    </row>
    <row r="447">
      <c r="M447" s="59"/>
      <c r="O447" s="60"/>
      <c r="Q447" s="13"/>
      <c r="R447" s="14"/>
      <c r="S447" s="14"/>
      <c r="T447" s="14"/>
      <c r="U447" s="14"/>
      <c r="V447" s="14"/>
      <c r="W447" s="14"/>
      <c r="X447" s="15"/>
      <c r="Y447" s="14"/>
      <c r="Z447" s="16"/>
      <c r="AA447" s="14"/>
      <c r="AB447" s="14"/>
      <c r="AC447" s="14"/>
      <c r="AD447" s="14"/>
      <c r="AE447" s="14"/>
      <c r="AF447" s="14"/>
      <c r="AG447" s="14"/>
      <c r="AH447" s="14"/>
    </row>
    <row r="448">
      <c r="M448" s="59"/>
      <c r="O448" s="60"/>
      <c r="Q448" s="13"/>
      <c r="R448" s="14"/>
      <c r="S448" s="14"/>
      <c r="T448" s="14"/>
      <c r="U448" s="14"/>
      <c r="V448" s="14"/>
      <c r="W448" s="14"/>
      <c r="X448" s="15"/>
      <c r="Y448" s="14"/>
      <c r="Z448" s="16"/>
      <c r="AA448" s="14"/>
      <c r="AB448" s="14"/>
      <c r="AC448" s="14"/>
      <c r="AD448" s="14"/>
      <c r="AE448" s="14"/>
      <c r="AF448" s="14"/>
      <c r="AG448" s="14"/>
      <c r="AH448" s="14"/>
    </row>
    <row r="449">
      <c r="M449" s="59"/>
      <c r="O449" s="60"/>
      <c r="Q449" s="13"/>
      <c r="R449" s="14"/>
      <c r="S449" s="14"/>
      <c r="T449" s="14"/>
      <c r="U449" s="14"/>
      <c r="V449" s="14"/>
      <c r="W449" s="14"/>
      <c r="X449" s="15"/>
      <c r="Y449" s="14"/>
      <c r="Z449" s="16"/>
      <c r="AA449" s="14"/>
      <c r="AB449" s="14"/>
      <c r="AC449" s="14"/>
      <c r="AD449" s="14"/>
      <c r="AE449" s="14"/>
      <c r="AF449" s="14"/>
      <c r="AG449" s="14"/>
      <c r="AH449" s="14"/>
    </row>
    <row r="450">
      <c r="M450" s="59"/>
      <c r="O450" s="60"/>
      <c r="Q450" s="13"/>
      <c r="R450" s="14"/>
      <c r="S450" s="14"/>
      <c r="T450" s="14"/>
      <c r="U450" s="14"/>
      <c r="V450" s="14"/>
      <c r="W450" s="14"/>
      <c r="X450" s="15"/>
      <c r="Y450" s="14"/>
      <c r="Z450" s="16"/>
      <c r="AA450" s="14"/>
      <c r="AB450" s="14"/>
      <c r="AC450" s="14"/>
      <c r="AD450" s="14"/>
      <c r="AE450" s="14"/>
      <c r="AF450" s="14"/>
      <c r="AG450" s="14"/>
      <c r="AH450" s="14"/>
    </row>
    <row r="451">
      <c r="M451" s="59"/>
      <c r="O451" s="60"/>
      <c r="Q451" s="13"/>
      <c r="R451" s="14"/>
      <c r="S451" s="14"/>
      <c r="T451" s="14"/>
      <c r="U451" s="14"/>
      <c r="V451" s="14"/>
      <c r="W451" s="14"/>
      <c r="X451" s="15"/>
      <c r="Y451" s="14"/>
      <c r="Z451" s="16"/>
      <c r="AA451" s="14"/>
      <c r="AB451" s="14"/>
      <c r="AC451" s="14"/>
      <c r="AD451" s="14"/>
      <c r="AE451" s="14"/>
      <c r="AF451" s="14"/>
      <c r="AG451" s="14"/>
      <c r="AH451" s="14"/>
    </row>
    <row r="452">
      <c r="M452" s="59"/>
      <c r="O452" s="60"/>
      <c r="Q452" s="13"/>
      <c r="R452" s="14"/>
      <c r="S452" s="14"/>
      <c r="T452" s="14"/>
      <c r="U452" s="14"/>
      <c r="V452" s="14"/>
      <c r="W452" s="14"/>
      <c r="X452" s="15"/>
      <c r="Y452" s="14"/>
      <c r="Z452" s="16"/>
      <c r="AA452" s="14"/>
      <c r="AB452" s="14"/>
      <c r="AC452" s="14"/>
      <c r="AD452" s="14"/>
      <c r="AE452" s="14"/>
      <c r="AF452" s="14"/>
      <c r="AG452" s="14"/>
      <c r="AH452" s="14"/>
    </row>
    <row r="453">
      <c r="M453" s="59"/>
      <c r="O453" s="60"/>
      <c r="Q453" s="13"/>
      <c r="R453" s="14"/>
      <c r="S453" s="14"/>
      <c r="T453" s="14"/>
      <c r="U453" s="14"/>
      <c r="V453" s="14"/>
      <c r="W453" s="14"/>
      <c r="X453" s="15"/>
      <c r="Y453" s="14"/>
      <c r="Z453" s="16"/>
      <c r="AA453" s="14"/>
      <c r="AB453" s="14"/>
      <c r="AC453" s="14"/>
      <c r="AD453" s="14"/>
      <c r="AE453" s="14"/>
      <c r="AF453" s="14"/>
      <c r="AG453" s="14"/>
      <c r="AH453" s="14"/>
    </row>
    <row r="454">
      <c r="M454" s="59"/>
      <c r="O454" s="60"/>
      <c r="Q454" s="13"/>
      <c r="R454" s="14"/>
      <c r="S454" s="14"/>
      <c r="T454" s="14"/>
      <c r="U454" s="14"/>
      <c r="V454" s="14"/>
      <c r="W454" s="14"/>
      <c r="X454" s="15"/>
      <c r="Y454" s="14"/>
      <c r="Z454" s="16"/>
      <c r="AA454" s="14"/>
      <c r="AB454" s="14"/>
      <c r="AC454" s="14"/>
      <c r="AD454" s="14"/>
      <c r="AE454" s="14"/>
      <c r="AF454" s="14"/>
      <c r="AG454" s="14"/>
      <c r="AH454" s="14"/>
    </row>
    <row r="455">
      <c r="M455" s="59"/>
      <c r="O455" s="60"/>
      <c r="Q455" s="13"/>
      <c r="R455" s="14"/>
      <c r="S455" s="14"/>
      <c r="T455" s="14"/>
      <c r="U455" s="14"/>
      <c r="V455" s="14"/>
      <c r="W455" s="14"/>
      <c r="X455" s="15"/>
      <c r="Y455" s="14"/>
      <c r="Z455" s="16"/>
      <c r="AA455" s="14"/>
      <c r="AB455" s="14"/>
      <c r="AC455" s="14"/>
      <c r="AD455" s="14"/>
      <c r="AE455" s="14"/>
      <c r="AF455" s="14"/>
      <c r="AG455" s="14"/>
      <c r="AH455" s="14"/>
    </row>
    <row r="456">
      <c r="M456" s="59"/>
      <c r="O456" s="60"/>
      <c r="Q456" s="13"/>
      <c r="R456" s="14"/>
      <c r="S456" s="14"/>
      <c r="T456" s="14"/>
      <c r="U456" s="14"/>
      <c r="V456" s="14"/>
      <c r="W456" s="14"/>
      <c r="X456" s="15"/>
      <c r="Y456" s="14"/>
      <c r="Z456" s="16"/>
      <c r="AA456" s="14"/>
      <c r="AB456" s="14"/>
      <c r="AC456" s="14"/>
      <c r="AD456" s="14"/>
      <c r="AE456" s="14"/>
      <c r="AF456" s="14"/>
      <c r="AG456" s="14"/>
      <c r="AH456" s="14"/>
    </row>
    <row r="457">
      <c r="M457" s="59"/>
      <c r="O457" s="60"/>
      <c r="Q457" s="13"/>
      <c r="R457" s="14"/>
      <c r="S457" s="14"/>
      <c r="T457" s="14"/>
      <c r="U457" s="14"/>
      <c r="V457" s="14"/>
      <c r="W457" s="14"/>
      <c r="X457" s="15"/>
      <c r="Y457" s="14"/>
      <c r="Z457" s="16"/>
      <c r="AA457" s="14"/>
      <c r="AB457" s="14"/>
      <c r="AC457" s="14"/>
      <c r="AD457" s="14"/>
      <c r="AE457" s="14"/>
      <c r="AF457" s="14"/>
      <c r="AG457" s="14"/>
      <c r="AH457" s="14"/>
    </row>
    <row r="458">
      <c r="M458" s="59"/>
      <c r="O458" s="60"/>
      <c r="Q458" s="13"/>
      <c r="R458" s="14"/>
      <c r="S458" s="14"/>
      <c r="T458" s="14"/>
      <c r="U458" s="14"/>
      <c r="V458" s="14"/>
      <c r="W458" s="14"/>
      <c r="X458" s="15"/>
      <c r="Y458" s="14"/>
      <c r="Z458" s="16"/>
      <c r="AA458" s="14"/>
      <c r="AB458" s="14"/>
      <c r="AC458" s="14"/>
      <c r="AD458" s="14"/>
      <c r="AE458" s="14"/>
      <c r="AF458" s="14"/>
      <c r="AG458" s="14"/>
      <c r="AH458" s="14"/>
    </row>
    <row r="459">
      <c r="M459" s="59"/>
      <c r="O459" s="60"/>
      <c r="Q459" s="13"/>
      <c r="R459" s="14"/>
      <c r="S459" s="14"/>
      <c r="T459" s="14"/>
      <c r="U459" s="14"/>
      <c r="V459" s="14"/>
      <c r="W459" s="14"/>
      <c r="X459" s="15"/>
      <c r="Y459" s="14"/>
      <c r="Z459" s="16"/>
      <c r="AA459" s="14"/>
      <c r="AB459" s="14"/>
      <c r="AC459" s="14"/>
      <c r="AD459" s="14"/>
      <c r="AE459" s="14"/>
      <c r="AF459" s="14"/>
      <c r="AG459" s="14"/>
      <c r="AH459" s="14"/>
    </row>
    <row r="460">
      <c r="M460" s="59"/>
      <c r="O460" s="60"/>
      <c r="Q460" s="13"/>
      <c r="R460" s="14"/>
      <c r="S460" s="14"/>
      <c r="T460" s="14"/>
      <c r="U460" s="14"/>
      <c r="V460" s="14"/>
      <c r="W460" s="14"/>
      <c r="X460" s="15"/>
      <c r="Y460" s="14"/>
      <c r="Z460" s="16"/>
      <c r="AA460" s="14"/>
      <c r="AB460" s="14"/>
      <c r="AC460" s="14"/>
      <c r="AD460" s="14"/>
      <c r="AE460" s="14"/>
      <c r="AF460" s="14"/>
      <c r="AG460" s="14"/>
      <c r="AH460" s="14"/>
    </row>
    <row r="461">
      <c r="M461" s="59"/>
      <c r="O461" s="60"/>
      <c r="Q461" s="13"/>
      <c r="R461" s="14"/>
      <c r="S461" s="14"/>
      <c r="T461" s="14"/>
      <c r="U461" s="14"/>
      <c r="V461" s="14"/>
      <c r="W461" s="14"/>
      <c r="X461" s="15"/>
      <c r="Y461" s="14"/>
      <c r="Z461" s="16"/>
      <c r="AA461" s="14"/>
      <c r="AB461" s="14"/>
      <c r="AC461" s="14"/>
      <c r="AD461" s="14"/>
      <c r="AE461" s="14"/>
      <c r="AF461" s="14"/>
      <c r="AG461" s="14"/>
      <c r="AH461" s="14"/>
    </row>
    <row r="462">
      <c r="M462" s="59"/>
      <c r="O462" s="60"/>
      <c r="Q462" s="13"/>
      <c r="R462" s="14"/>
      <c r="S462" s="14"/>
      <c r="T462" s="14"/>
      <c r="U462" s="14"/>
      <c r="V462" s="14"/>
      <c r="W462" s="14"/>
      <c r="X462" s="15"/>
      <c r="Y462" s="14"/>
      <c r="Z462" s="16"/>
      <c r="AA462" s="14"/>
      <c r="AB462" s="14"/>
      <c r="AC462" s="14"/>
      <c r="AD462" s="14"/>
      <c r="AE462" s="14"/>
      <c r="AF462" s="14"/>
      <c r="AG462" s="14"/>
      <c r="AH462" s="14"/>
    </row>
    <row r="463">
      <c r="M463" s="59"/>
      <c r="O463" s="60"/>
      <c r="Q463" s="13"/>
      <c r="R463" s="14"/>
      <c r="S463" s="14"/>
      <c r="T463" s="14"/>
      <c r="U463" s="14"/>
      <c r="V463" s="14"/>
      <c r="W463" s="14"/>
      <c r="X463" s="15"/>
      <c r="Y463" s="14"/>
      <c r="Z463" s="16"/>
      <c r="AA463" s="14"/>
      <c r="AB463" s="14"/>
      <c r="AC463" s="14"/>
      <c r="AD463" s="14"/>
      <c r="AE463" s="14"/>
      <c r="AF463" s="14"/>
      <c r="AG463" s="14"/>
      <c r="AH463" s="14"/>
    </row>
    <row r="464">
      <c r="M464" s="59"/>
      <c r="O464" s="60"/>
      <c r="Q464" s="13"/>
      <c r="R464" s="14"/>
      <c r="S464" s="14"/>
      <c r="T464" s="14"/>
      <c r="U464" s="14"/>
      <c r="V464" s="14"/>
      <c r="W464" s="14"/>
      <c r="X464" s="15"/>
      <c r="Y464" s="14"/>
      <c r="Z464" s="16"/>
      <c r="AA464" s="14"/>
      <c r="AB464" s="14"/>
      <c r="AC464" s="14"/>
      <c r="AD464" s="14"/>
      <c r="AE464" s="14"/>
      <c r="AF464" s="14"/>
      <c r="AG464" s="14"/>
      <c r="AH464" s="14"/>
    </row>
    <row r="465">
      <c r="M465" s="59"/>
      <c r="O465" s="60"/>
      <c r="Q465" s="13"/>
      <c r="R465" s="14"/>
      <c r="S465" s="14"/>
      <c r="T465" s="14"/>
      <c r="U465" s="14"/>
      <c r="V465" s="14"/>
      <c r="W465" s="14"/>
      <c r="X465" s="15"/>
      <c r="Y465" s="14"/>
      <c r="Z465" s="16"/>
      <c r="AA465" s="14"/>
      <c r="AB465" s="14"/>
      <c r="AC465" s="14"/>
      <c r="AD465" s="14"/>
      <c r="AE465" s="14"/>
      <c r="AF465" s="14"/>
      <c r="AG465" s="14"/>
      <c r="AH465" s="14"/>
    </row>
    <row r="466">
      <c r="M466" s="59"/>
      <c r="O466" s="60"/>
      <c r="Q466" s="13"/>
      <c r="R466" s="14"/>
      <c r="S466" s="14"/>
      <c r="T466" s="14"/>
      <c r="U466" s="14"/>
      <c r="V466" s="14"/>
      <c r="W466" s="14"/>
      <c r="X466" s="15"/>
      <c r="Y466" s="14"/>
      <c r="Z466" s="16"/>
      <c r="AA466" s="14"/>
      <c r="AB466" s="14"/>
      <c r="AC466" s="14"/>
      <c r="AD466" s="14"/>
      <c r="AE466" s="14"/>
      <c r="AF466" s="14"/>
      <c r="AG466" s="14"/>
      <c r="AH466" s="14"/>
    </row>
    <row r="467">
      <c r="M467" s="59"/>
      <c r="O467" s="60"/>
      <c r="Q467" s="13"/>
      <c r="R467" s="14"/>
      <c r="S467" s="14"/>
      <c r="T467" s="14"/>
      <c r="U467" s="14"/>
      <c r="V467" s="14"/>
      <c r="W467" s="14"/>
      <c r="X467" s="15"/>
      <c r="Y467" s="14"/>
      <c r="Z467" s="16"/>
      <c r="AA467" s="14"/>
      <c r="AB467" s="14"/>
      <c r="AC467" s="14"/>
      <c r="AD467" s="14"/>
      <c r="AE467" s="14"/>
      <c r="AF467" s="14"/>
      <c r="AG467" s="14"/>
      <c r="AH467" s="14"/>
    </row>
    <row r="468">
      <c r="M468" s="59"/>
      <c r="O468" s="60"/>
      <c r="Q468" s="13"/>
      <c r="R468" s="14"/>
      <c r="S468" s="14"/>
      <c r="T468" s="14"/>
      <c r="U468" s="14"/>
      <c r="V468" s="14"/>
      <c r="W468" s="14"/>
      <c r="X468" s="15"/>
      <c r="Y468" s="14"/>
      <c r="Z468" s="16"/>
      <c r="AA468" s="14"/>
      <c r="AB468" s="14"/>
      <c r="AC468" s="14"/>
      <c r="AD468" s="14"/>
      <c r="AE468" s="14"/>
      <c r="AF468" s="14"/>
      <c r="AG468" s="14"/>
      <c r="AH468" s="14"/>
    </row>
    <row r="469">
      <c r="M469" s="59"/>
      <c r="O469" s="60"/>
      <c r="Q469" s="13"/>
      <c r="R469" s="14"/>
      <c r="S469" s="14"/>
      <c r="T469" s="14"/>
      <c r="U469" s="14"/>
      <c r="V469" s="14"/>
      <c r="W469" s="14"/>
      <c r="X469" s="15"/>
      <c r="Y469" s="14"/>
      <c r="Z469" s="16"/>
      <c r="AA469" s="14"/>
      <c r="AB469" s="14"/>
      <c r="AC469" s="14"/>
      <c r="AD469" s="14"/>
      <c r="AE469" s="14"/>
      <c r="AF469" s="14"/>
      <c r="AG469" s="14"/>
      <c r="AH469" s="14"/>
    </row>
    <row r="470">
      <c r="M470" s="59"/>
      <c r="O470" s="60"/>
      <c r="Q470" s="13"/>
      <c r="R470" s="14"/>
      <c r="S470" s="14"/>
      <c r="T470" s="14"/>
      <c r="U470" s="14"/>
      <c r="V470" s="14"/>
      <c r="W470" s="14"/>
      <c r="X470" s="15"/>
      <c r="Y470" s="14"/>
      <c r="Z470" s="16"/>
      <c r="AA470" s="14"/>
      <c r="AB470" s="14"/>
      <c r="AC470" s="14"/>
      <c r="AD470" s="14"/>
      <c r="AE470" s="14"/>
      <c r="AF470" s="14"/>
      <c r="AG470" s="14"/>
      <c r="AH470" s="14"/>
    </row>
    <row r="471">
      <c r="M471" s="59"/>
      <c r="O471" s="60"/>
      <c r="Q471" s="13"/>
      <c r="R471" s="14"/>
      <c r="S471" s="14"/>
      <c r="T471" s="14"/>
      <c r="U471" s="14"/>
      <c r="V471" s="14"/>
      <c r="W471" s="14"/>
      <c r="X471" s="15"/>
      <c r="Y471" s="14"/>
      <c r="Z471" s="16"/>
      <c r="AA471" s="14"/>
      <c r="AB471" s="14"/>
      <c r="AC471" s="14"/>
      <c r="AD471" s="14"/>
      <c r="AE471" s="14"/>
      <c r="AF471" s="14"/>
      <c r="AG471" s="14"/>
      <c r="AH471" s="14"/>
    </row>
    <row r="472">
      <c r="M472" s="59"/>
      <c r="O472" s="60"/>
      <c r="Q472" s="13"/>
      <c r="R472" s="14"/>
      <c r="S472" s="14"/>
      <c r="T472" s="14"/>
      <c r="U472" s="14"/>
      <c r="V472" s="14"/>
      <c r="W472" s="14"/>
      <c r="X472" s="15"/>
      <c r="Y472" s="14"/>
      <c r="Z472" s="16"/>
      <c r="AA472" s="14"/>
      <c r="AB472" s="14"/>
      <c r="AC472" s="14"/>
      <c r="AD472" s="14"/>
      <c r="AE472" s="14"/>
      <c r="AF472" s="14"/>
      <c r="AG472" s="14"/>
      <c r="AH472" s="14"/>
    </row>
    <row r="473">
      <c r="M473" s="59"/>
      <c r="O473" s="60"/>
      <c r="Q473" s="13"/>
      <c r="R473" s="14"/>
      <c r="S473" s="14"/>
      <c r="T473" s="14"/>
      <c r="U473" s="14"/>
      <c r="V473" s="14"/>
      <c r="W473" s="14"/>
      <c r="X473" s="15"/>
      <c r="Y473" s="14"/>
      <c r="Z473" s="16"/>
      <c r="AA473" s="14"/>
      <c r="AB473" s="14"/>
      <c r="AC473" s="14"/>
      <c r="AD473" s="14"/>
      <c r="AE473" s="14"/>
      <c r="AF473" s="14"/>
      <c r="AG473" s="14"/>
      <c r="AH473" s="14"/>
    </row>
    <row r="474">
      <c r="M474" s="59"/>
      <c r="O474" s="60"/>
      <c r="Q474" s="13"/>
      <c r="R474" s="14"/>
      <c r="S474" s="14"/>
      <c r="T474" s="14"/>
      <c r="U474" s="14"/>
      <c r="V474" s="14"/>
      <c r="W474" s="14"/>
      <c r="X474" s="15"/>
      <c r="Y474" s="14"/>
      <c r="Z474" s="16"/>
      <c r="AA474" s="14"/>
      <c r="AB474" s="14"/>
      <c r="AC474" s="14"/>
      <c r="AD474" s="14"/>
      <c r="AE474" s="14"/>
      <c r="AF474" s="14"/>
      <c r="AG474" s="14"/>
      <c r="AH474" s="14"/>
    </row>
    <row r="475">
      <c r="M475" s="59"/>
      <c r="O475" s="60"/>
      <c r="Q475" s="13"/>
      <c r="R475" s="14"/>
      <c r="S475" s="14"/>
      <c r="T475" s="14"/>
      <c r="U475" s="14"/>
      <c r="V475" s="14"/>
      <c r="W475" s="14"/>
      <c r="X475" s="15"/>
      <c r="Y475" s="14"/>
      <c r="Z475" s="16"/>
      <c r="AA475" s="14"/>
      <c r="AB475" s="14"/>
      <c r="AC475" s="14"/>
      <c r="AD475" s="14"/>
      <c r="AE475" s="14"/>
      <c r="AF475" s="14"/>
      <c r="AG475" s="14"/>
      <c r="AH475" s="14"/>
    </row>
    <row r="476">
      <c r="M476" s="59"/>
      <c r="O476" s="60"/>
      <c r="Q476" s="13"/>
      <c r="R476" s="14"/>
      <c r="S476" s="14"/>
      <c r="T476" s="14"/>
      <c r="U476" s="14"/>
      <c r="V476" s="14"/>
      <c r="W476" s="14"/>
      <c r="X476" s="15"/>
      <c r="Y476" s="14"/>
      <c r="Z476" s="16"/>
      <c r="AA476" s="14"/>
      <c r="AB476" s="14"/>
      <c r="AC476" s="14"/>
      <c r="AD476" s="14"/>
      <c r="AE476" s="14"/>
      <c r="AF476" s="14"/>
      <c r="AG476" s="14"/>
      <c r="AH476" s="14"/>
    </row>
    <row r="477">
      <c r="M477" s="59"/>
      <c r="O477" s="60"/>
      <c r="Q477" s="13"/>
      <c r="R477" s="14"/>
      <c r="S477" s="14"/>
      <c r="T477" s="14"/>
      <c r="U477" s="14"/>
      <c r="V477" s="14"/>
      <c r="W477" s="14"/>
      <c r="X477" s="15"/>
      <c r="Y477" s="14"/>
      <c r="Z477" s="16"/>
      <c r="AA477" s="14"/>
      <c r="AB477" s="14"/>
      <c r="AC477" s="14"/>
      <c r="AD477" s="14"/>
      <c r="AE477" s="14"/>
      <c r="AF477" s="14"/>
      <c r="AG477" s="14"/>
      <c r="AH477" s="14"/>
    </row>
    <row r="478">
      <c r="M478" s="59"/>
      <c r="O478" s="60"/>
      <c r="Q478" s="13"/>
      <c r="R478" s="14"/>
      <c r="S478" s="14"/>
      <c r="T478" s="14"/>
      <c r="U478" s="14"/>
      <c r="V478" s="14"/>
      <c r="W478" s="14"/>
      <c r="X478" s="15"/>
      <c r="Y478" s="14"/>
      <c r="Z478" s="16"/>
      <c r="AA478" s="14"/>
      <c r="AB478" s="14"/>
      <c r="AC478" s="14"/>
      <c r="AD478" s="14"/>
      <c r="AE478" s="14"/>
      <c r="AF478" s="14"/>
      <c r="AG478" s="14"/>
      <c r="AH478" s="14"/>
    </row>
    <row r="479">
      <c r="M479" s="59"/>
      <c r="O479" s="60"/>
      <c r="Q479" s="13"/>
      <c r="R479" s="14"/>
      <c r="S479" s="14"/>
      <c r="T479" s="14"/>
      <c r="U479" s="14"/>
      <c r="V479" s="14"/>
      <c r="W479" s="14"/>
      <c r="X479" s="15"/>
      <c r="Y479" s="14"/>
      <c r="Z479" s="16"/>
      <c r="AA479" s="14"/>
      <c r="AB479" s="14"/>
      <c r="AC479" s="14"/>
      <c r="AD479" s="14"/>
      <c r="AE479" s="14"/>
      <c r="AF479" s="14"/>
      <c r="AG479" s="14"/>
      <c r="AH479" s="14"/>
    </row>
    <row r="480">
      <c r="M480" s="59"/>
      <c r="O480" s="60"/>
      <c r="Q480" s="13"/>
      <c r="R480" s="14"/>
      <c r="S480" s="14"/>
      <c r="T480" s="14"/>
      <c r="U480" s="14"/>
      <c r="V480" s="14"/>
      <c r="W480" s="14"/>
      <c r="X480" s="15"/>
      <c r="Y480" s="14"/>
      <c r="Z480" s="16"/>
      <c r="AA480" s="14"/>
      <c r="AB480" s="14"/>
      <c r="AC480" s="14"/>
      <c r="AD480" s="14"/>
      <c r="AE480" s="14"/>
      <c r="AF480" s="14"/>
      <c r="AG480" s="14"/>
      <c r="AH480" s="14"/>
    </row>
    <row r="481">
      <c r="M481" s="59"/>
      <c r="O481" s="60"/>
      <c r="Q481" s="13"/>
      <c r="R481" s="14"/>
      <c r="S481" s="14"/>
      <c r="T481" s="14"/>
      <c r="U481" s="14"/>
      <c r="V481" s="14"/>
      <c r="W481" s="14"/>
      <c r="X481" s="15"/>
      <c r="Y481" s="14"/>
      <c r="Z481" s="16"/>
      <c r="AA481" s="14"/>
      <c r="AB481" s="14"/>
      <c r="AC481" s="14"/>
      <c r="AD481" s="14"/>
      <c r="AE481" s="14"/>
      <c r="AF481" s="14"/>
      <c r="AG481" s="14"/>
      <c r="AH481" s="14"/>
    </row>
    <row r="482">
      <c r="M482" s="59"/>
      <c r="O482" s="60"/>
      <c r="Q482" s="13"/>
      <c r="R482" s="14"/>
      <c r="S482" s="14"/>
      <c r="T482" s="14"/>
      <c r="U482" s="14"/>
      <c r="V482" s="14"/>
      <c r="W482" s="14"/>
      <c r="X482" s="15"/>
      <c r="Y482" s="14"/>
      <c r="Z482" s="16"/>
      <c r="AA482" s="14"/>
      <c r="AB482" s="14"/>
      <c r="AC482" s="14"/>
      <c r="AD482" s="14"/>
      <c r="AE482" s="14"/>
      <c r="AF482" s="14"/>
      <c r="AG482" s="14"/>
      <c r="AH482" s="14"/>
    </row>
    <row r="483">
      <c r="M483" s="59"/>
      <c r="O483" s="60"/>
      <c r="Q483" s="13"/>
      <c r="R483" s="14"/>
      <c r="S483" s="14"/>
      <c r="T483" s="14"/>
      <c r="U483" s="14"/>
      <c r="V483" s="14"/>
      <c r="W483" s="14"/>
      <c r="X483" s="15"/>
      <c r="Y483" s="14"/>
      <c r="Z483" s="16"/>
      <c r="AA483" s="14"/>
      <c r="AB483" s="14"/>
      <c r="AC483" s="14"/>
      <c r="AD483" s="14"/>
      <c r="AE483" s="14"/>
      <c r="AF483" s="14"/>
      <c r="AG483" s="14"/>
      <c r="AH483" s="14"/>
    </row>
    <row r="484">
      <c r="M484" s="59"/>
      <c r="O484" s="60"/>
      <c r="Q484" s="13"/>
      <c r="R484" s="14"/>
      <c r="S484" s="14"/>
      <c r="T484" s="14"/>
      <c r="U484" s="14"/>
      <c r="V484" s="14"/>
      <c r="W484" s="14"/>
      <c r="X484" s="15"/>
      <c r="Y484" s="14"/>
      <c r="Z484" s="16"/>
      <c r="AA484" s="14"/>
      <c r="AB484" s="14"/>
      <c r="AC484" s="14"/>
      <c r="AD484" s="14"/>
      <c r="AE484" s="14"/>
      <c r="AF484" s="14"/>
      <c r="AG484" s="14"/>
      <c r="AH484" s="14"/>
    </row>
    <row r="485">
      <c r="M485" s="59"/>
      <c r="O485" s="60"/>
      <c r="Q485" s="13"/>
      <c r="R485" s="14"/>
      <c r="S485" s="14"/>
      <c r="T485" s="14"/>
      <c r="U485" s="14"/>
      <c r="V485" s="14"/>
      <c r="W485" s="14"/>
      <c r="X485" s="15"/>
      <c r="Y485" s="14"/>
      <c r="Z485" s="16"/>
      <c r="AA485" s="14"/>
      <c r="AB485" s="14"/>
      <c r="AC485" s="14"/>
      <c r="AD485" s="14"/>
      <c r="AE485" s="14"/>
      <c r="AF485" s="14"/>
      <c r="AG485" s="14"/>
      <c r="AH485" s="14"/>
    </row>
    <row r="486">
      <c r="M486" s="59"/>
      <c r="O486" s="60"/>
      <c r="Q486" s="13"/>
      <c r="R486" s="14"/>
      <c r="S486" s="14"/>
      <c r="T486" s="14"/>
      <c r="U486" s="14"/>
      <c r="V486" s="14"/>
      <c r="W486" s="14"/>
      <c r="X486" s="15"/>
      <c r="Y486" s="14"/>
      <c r="Z486" s="16"/>
      <c r="AA486" s="14"/>
      <c r="AB486" s="14"/>
      <c r="AC486" s="14"/>
      <c r="AD486" s="14"/>
      <c r="AE486" s="14"/>
      <c r="AF486" s="14"/>
      <c r="AG486" s="14"/>
      <c r="AH486" s="14"/>
    </row>
    <row r="487">
      <c r="M487" s="59"/>
      <c r="O487" s="60"/>
      <c r="Q487" s="13"/>
      <c r="R487" s="14"/>
      <c r="S487" s="14"/>
      <c r="T487" s="14"/>
      <c r="U487" s="14"/>
      <c r="V487" s="14"/>
      <c r="W487" s="14"/>
      <c r="X487" s="15"/>
      <c r="Y487" s="14"/>
      <c r="Z487" s="16"/>
      <c r="AA487" s="14"/>
      <c r="AB487" s="14"/>
      <c r="AC487" s="14"/>
      <c r="AD487" s="14"/>
      <c r="AE487" s="14"/>
      <c r="AF487" s="14"/>
      <c r="AG487" s="14"/>
      <c r="AH487" s="14"/>
    </row>
    <row r="488">
      <c r="M488" s="59"/>
      <c r="O488" s="60"/>
      <c r="Q488" s="13"/>
      <c r="R488" s="14"/>
      <c r="S488" s="14"/>
      <c r="T488" s="14"/>
      <c r="U488" s="14"/>
      <c r="V488" s="14"/>
      <c r="W488" s="14"/>
      <c r="X488" s="15"/>
      <c r="Y488" s="14"/>
      <c r="Z488" s="16"/>
      <c r="AA488" s="14"/>
      <c r="AB488" s="14"/>
      <c r="AC488" s="14"/>
      <c r="AD488" s="14"/>
      <c r="AE488" s="14"/>
      <c r="AF488" s="14"/>
      <c r="AG488" s="14"/>
      <c r="AH488" s="14"/>
    </row>
    <row r="489">
      <c r="M489" s="59"/>
      <c r="O489" s="60"/>
      <c r="Q489" s="13"/>
      <c r="R489" s="14"/>
      <c r="S489" s="14"/>
      <c r="T489" s="14"/>
      <c r="U489" s="14"/>
      <c r="V489" s="14"/>
      <c r="W489" s="14"/>
      <c r="X489" s="15"/>
      <c r="Y489" s="14"/>
      <c r="Z489" s="16"/>
      <c r="AA489" s="14"/>
      <c r="AB489" s="14"/>
      <c r="AC489" s="14"/>
      <c r="AD489" s="14"/>
      <c r="AE489" s="14"/>
      <c r="AF489" s="14"/>
      <c r="AG489" s="14"/>
      <c r="AH489" s="14"/>
    </row>
    <row r="490">
      <c r="M490" s="59"/>
      <c r="O490" s="60"/>
      <c r="Q490" s="13"/>
      <c r="R490" s="14"/>
      <c r="S490" s="14"/>
      <c r="T490" s="14"/>
      <c r="U490" s="14"/>
      <c r="V490" s="14"/>
      <c r="W490" s="14"/>
      <c r="X490" s="15"/>
      <c r="Y490" s="14"/>
      <c r="Z490" s="16"/>
      <c r="AA490" s="14"/>
      <c r="AB490" s="14"/>
      <c r="AC490" s="14"/>
      <c r="AD490" s="14"/>
      <c r="AE490" s="14"/>
      <c r="AF490" s="14"/>
      <c r="AG490" s="14"/>
      <c r="AH490" s="14"/>
    </row>
    <row r="491">
      <c r="M491" s="59"/>
      <c r="O491" s="60"/>
      <c r="Q491" s="13"/>
      <c r="R491" s="14"/>
      <c r="S491" s="14"/>
      <c r="T491" s="14"/>
      <c r="U491" s="14"/>
      <c r="V491" s="14"/>
      <c r="W491" s="14"/>
      <c r="X491" s="15"/>
      <c r="Y491" s="14"/>
      <c r="Z491" s="16"/>
      <c r="AA491" s="14"/>
      <c r="AB491" s="14"/>
      <c r="AC491" s="14"/>
      <c r="AD491" s="14"/>
      <c r="AE491" s="14"/>
      <c r="AF491" s="14"/>
      <c r="AG491" s="14"/>
      <c r="AH491" s="14"/>
    </row>
    <row r="492">
      <c r="M492" s="59"/>
      <c r="O492" s="60"/>
      <c r="Q492" s="13"/>
      <c r="R492" s="14"/>
      <c r="S492" s="14"/>
      <c r="T492" s="14"/>
      <c r="U492" s="14"/>
      <c r="V492" s="14"/>
      <c r="W492" s="14"/>
      <c r="X492" s="15"/>
      <c r="Y492" s="14"/>
      <c r="Z492" s="16"/>
      <c r="AA492" s="14"/>
      <c r="AB492" s="14"/>
      <c r="AC492" s="14"/>
      <c r="AD492" s="14"/>
      <c r="AE492" s="14"/>
      <c r="AF492" s="14"/>
      <c r="AG492" s="14"/>
      <c r="AH492" s="14"/>
    </row>
    <row r="493">
      <c r="M493" s="59"/>
      <c r="O493" s="60"/>
      <c r="Q493" s="13"/>
      <c r="R493" s="14"/>
      <c r="S493" s="14"/>
      <c r="T493" s="14"/>
      <c r="U493" s="14"/>
      <c r="V493" s="14"/>
      <c r="W493" s="14"/>
      <c r="X493" s="15"/>
      <c r="Y493" s="14"/>
      <c r="Z493" s="16"/>
      <c r="AA493" s="14"/>
      <c r="AB493" s="14"/>
      <c r="AC493" s="14"/>
      <c r="AD493" s="14"/>
      <c r="AE493" s="14"/>
      <c r="AF493" s="14"/>
      <c r="AG493" s="14"/>
      <c r="AH493" s="14"/>
    </row>
    <row r="494">
      <c r="M494" s="59"/>
      <c r="O494" s="60"/>
      <c r="Q494" s="13"/>
      <c r="R494" s="14"/>
      <c r="S494" s="14"/>
      <c r="T494" s="14"/>
      <c r="U494" s="14"/>
      <c r="V494" s="14"/>
      <c r="W494" s="14"/>
      <c r="X494" s="15"/>
      <c r="Y494" s="14"/>
      <c r="Z494" s="16"/>
      <c r="AA494" s="14"/>
      <c r="AB494" s="14"/>
      <c r="AC494" s="14"/>
      <c r="AD494" s="14"/>
      <c r="AE494" s="14"/>
      <c r="AF494" s="14"/>
      <c r="AG494" s="14"/>
      <c r="AH494" s="14"/>
    </row>
    <row r="495">
      <c r="M495" s="59"/>
      <c r="O495" s="60"/>
      <c r="Q495" s="13"/>
      <c r="R495" s="14"/>
      <c r="S495" s="14"/>
      <c r="T495" s="14"/>
      <c r="U495" s="14"/>
      <c r="V495" s="14"/>
      <c r="W495" s="14"/>
      <c r="X495" s="15"/>
      <c r="Y495" s="14"/>
      <c r="Z495" s="16"/>
      <c r="AA495" s="14"/>
      <c r="AB495" s="14"/>
      <c r="AC495" s="14"/>
      <c r="AD495" s="14"/>
      <c r="AE495" s="14"/>
      <c r="AF495" s="14"/>
      <c r="AG495" s="14"/>
      <c r="AH495" s="14"/>
    </row>
    <row r="496">
      <c r="M496" s="59"/>
      <c r="O496" s="60"/>
      <c r="Q496" s="13"/>
      <c r="R496" s="14"/>
      <c r="S496" s="14"/>
      <c r="T496" s="14"/>
      <c r="U496" s="14"/>
      <c r="V496" s="14"/>
      <c r="W496" s="14"/>
      <c r="X496" s="15"/>
      <c r="Y496" s="14"/>
      <c r="Z496" s="16"/>
      <c r="AA496" s="14"/>
      <c r="AB496" s="14"/>
      <c r="AC496" s="14"/>
      <c r="AD496" s="14"/>
      <c r="AE496" s="14"/>
      <c r="AF496" s="14"/>
      <c r="AG496" s="14"/>
      <c r="AH496" s="14"/>
    </row>
    <row r="497">
      <c r="M497" s="59"/>
      <c r="O497" s="60"/>
      <c r="Q497" s="13"/>
      <c r="R497" s="14"/>
      <c r="S497" s="14"/>
      <c r="T497" s="14"/>
      <c r="U497" s="14"/>
      <c r="V497" s="14"/>
      <c r="W497" s="14"/>
      <c r="X497" s="15"/>
      <c r="Y497" s="14"/>
      <c r="Z497" s="16"/>
      <c r="AA497" s="14"/>
      <c r="AB497" s="14"/>
      <c r="AC497" s="14"/>
      <c r="AD497" s="14"/>
      <c r="AE497" s="14"/>
      <c r="AF497" s="14"/>
      <c r="AG497" s="14"/>
      <c r="AH497" s="14"/>
    </row>
    <row r="498">
      <c r="M498" s="59"/>
      <c r="O498" s="60"/>
      <c r="Q498" s="13"/>
      <c r="R498" s="14"/>
      <c r="S498" s="14"/>
      <c r="T498" s="14"/>
      <c r="U498" s="14"/>
      <c r="V498" s="14"/>
      <c r="W498" s="14"/>
      <c r="X498" s="15"/>
      <c r="Y498" s="14"/>
      <c r="Z498" s="16"/>
      <c r="AA498" s="14"/>
      <c r="AB498" s="14"/>
      <c r="AC498" s="14"/>
      <c r="AD498" s="14"/>
      <c r="AE498" s="14"/>
      <c r="AF498" s="14"/>
      <c r="AG498" s="14"/>
      <c r="AH498" s="14"/>
    </row>
    <row r="499">
      <c r="M499" s="59"/>
      <c r="O499" s="60"/>
      <c r="Q499" s="13"/>
      <c r="R499" s="14"/>
      <c r="S499" s="14"/>
      <c r="T499" s="14"/>
      <c r="U499" s="14"/>
      <c r="V499" s="14"/>
      <c r="W499" s="14"/>
      <c r="X499" s="15"/>
      <c r="Y499" s="14"/>
      <c r="Z499" s="16"/>
      <c r="AA499" s="14"/>
      <c r="AB499" s="14"/>
      <c r="AC499" s="14"/>
      <c r="AD499" s="14"/>
      <c r="AE499" s="14"/>
      <c r="AF499" s="14"/>
      <c r="AG499" s="14"/>
      <c r="AH499" s="14"/>
    </row>
    <row r="500">
      <c r="M500" s="59"/>
      <c r="O500" s="60"/>
      <c r="Q500" s="13"/>
      <c r="R500" s="14"/>
      <c r="S500" s="14"/>
      <c r="T500" s="14"/>
      <c r="U500" s="14"/>
      <c r="V500" s="14"/>
      <c r="W500" s="14"/>
      <c r="X500" s="15"/>
      <c r="Y500" s="14"/>
      <c r="Z500" s="16"/>
      <c r="AA500" s="14"/>
      <c r="AB500" s="14"/>
      <c r="AC500" s="14"/>
      <c r="AD500" s="14"/>
      <c r="AE500" s="14"/>
      <c r="AF500" s="14"/>
      <c r="AG500" s="14"/>
      <c r="AH500" s="14"/>
    </row>
    <row r="501">
      <c r="M501" s="59"/>
      <c r="O501" s="60"/>
      <c r="Q501" s="13"/>
      <c r="R501" s="14"/>
      <c r="S501" s="14"/>
      <c r="T501" s="14"/>
      <c r="U501" s="14"/>
      <c r="V501" s="14"/>
      <c r="W501" s="14"/>
      <c r="X501" s="15"/>
      <c r="Y501" s="14"/>
      <c r="Z501" s="16"/>
      <c r="AA501" s="14"/>
      <c r="AB501" s="14"/>
      <c r="AC501" s="14"/>
      <c r="AD501" s="14"/>
      <c r="AE501" s="14"/>
      <c r="AF501" s="14"/>
      <c r="AG501" s="14"/>
      <c r="AH501" s="14"/>
    </row>
    <row r="502">
      <c r="M502" s="59"/>
      <c r="O502" s="60"/>
      <c r="Q502" s="13"/>
      <c r="R502" s="14"/>
      <c r="S502" s="14"/>
      <c r="T502" s="14"/>
      <c r="U502" s="14"/>
      <c r="V502" s="14"/>
      <c r="W502" s="14"/>
      <c r="X502" s="15"/>
      <c r="Y502" s="14"/>
      <c r="Z502" s="16"/>
      <c r="AA502" s="14"/>
      <c r="AB502" s="14"/>
      <c r="AC502" s="14"/>
      <c r="AD502" s="14"/>
      <c r="AE502" s="14"/>
      <c r="AF502" s="14"/>
      <c r="AG502" s="14"/>
      <c r="AH502" s="14"/>
    </row>
    <row r="503">
      <c r="M503" s="59"/>
      <c r="O503" s="60"/>
      <c r="Q503" s="13"/>
      <c r="R503" s="14"/>
      <c r="S503" s="14"/>
      <c r="T503" s="14"/>
      <c r="U503" s="14"/>
      <c r="V503" s="14"/>
      <c r="W503" s="14"/>
      <c r="X503" s="15"/>
      <c r="Y503" s="14"/>
      <c r="Z503" s="16"/>
      <c r="AA503" s="14"/>
      <c r="AB503" s="14"/>
      <c r="AC503" s="14"/>
      <c r="AD503" s="14"/>
      <c r="AE503" s="14"/>
      <c r="AF503" s="14"/>
      <c r="AG503" s="14"/>
      <c r="AH503" s="14"/>
    </row>
    <row r="504">
      <c r="M504" s="59"/>
      <c r="O504" s="60"/>
      <c r="Q504" s="13"/>
      <c r="R504" s="14"/>
      <c r="S504" s="14"/>
      <c r="T504" s="14"/>
      <c r="U504" s="14"/>
      <c r="V504" s="14"/>
      <c r="W504" s="14"/>
      <c r="X504" s="15"/>
      <c r="Y504" s="14"/>
      <c r="Z504" s="16"/>
      <c r="AA504" s="14"/>
      <c r="AB504" s="14"/>
      <c r="AC504" s="14"/>
      <c r="AD504" s="14"/>
      <c r="AE504" s="14"/>
      <c r="AF504" s="14"/>
      <c r="AG504" s="14"/>
      <c r="AH504" s="14"/>
    </row>
    <row r="505">
      <c r="M505" s="59"/>
      <c r="O505" s="60"/>
      <c r="Q505" s="13"/>
      <c r="R505" s="14"/>
      <c r="S505" s="14"/>
      <c r="T505" s="14"/>
      <c r="U505" s="14"/>
      <c r="V505" s="14"/>
      <c r="W505" s="14"/>
      <c r="X505" s="15"/>
      <c r="Y505" s="14"/>
      <c r="Z505" s="16"/>
      <c r="AA505" s="14"/>
      <c r="AB505" s="14"/>
      <c r="AC505" s="14"/>
      <c r="AD505" s="14"/>
      <c r="AE505" s="14"/>
      <c r="AF505" s="14"/>
      <c r="AG505" s="14"/>
      <c r="AH505" s="14"/>
    </row>
    <row r="506">
      <c r="M506" s="59"/>
      <c r="O506" s="60"/>
      <c r="Q506" s="13"/>
      <c r="R506" s="14"/>
      <c r="S506" s="14"/>
      <c r="T506" s="14"/>
      <c r="U506" s="14"/>
      <c r="V506" s="14"/>
      <c r="W506" s="14"/>
      <c r="X506" s="15"/>
      <c r="Y506" s="14"/>
      <c r="Z506" s="16"/>
      <c r="AA506" s="14"/>
      <c r="AB506" s="14"/>
      <c r="AC506" s="14"/>
      <c r="AD506" s="14"/>
      <c r="AE506" s="14"/>
      <c r="AF506" s="14"/>
      <c r="AG506" s="14"/>
      <c r="AH506" s="14"/>
    </row>
    <row r="507">
      <c r="M507" s="59"/>
      <c r="O507" s="60"/>
      <c r="Q507" s="13"/>
      <c r="R507" s="14"/>
      <c r="S507" s="14"/>
      <c r="T507" s="14"/>
      <c r="U507" s="14"/>
      <c r="V507" s="14"/>
      <c r="W507" s="14"/>
      <c r="X507" s="15"/>
      <c r="Y507" s="14"/>
      <c r="Z507" s="16"/>
      <c r="AA507" s="14"/>
      <c r="AB507" s="14"/>
      <c r="AC507" s="14"/>
      <c r="AD507" s="14"/>
      <c r="AE507" s="14"/>
      <c r="AF507" s="14"/>
      <c r="AG507" s="14"/>
      <c r="AH507" s="14"/>
    </row>
    <row r="508">
      <c r="M508" s="59"/>
      <c r="O508" s="60"/>
      <c r="Q508" s="13"/>
      <c r="R508" s="14"/>
      <c r="S508" s="14"/>
      <c r="T508" s="14"/>
      <c r="U508" s="14"/>
      <c r="V508" s="14"/>
      <c r="W508" s="14"/>
      <c r="X508" s="15"/>
      <c r="Y508" s="14"/>
      <c r="Z508" s="16"/>
      <c r="AA508" s="14"/>
      <c r="AB508" s="14"/>
      <c r="AC508" s="14"/>
      <c r="AD508" s="14"/>
      <c r="AE508" s="14"/>
      <c r="AF508" s="14"/>
      <c r="AG508" s="14"/>
      <c r="AH508" s="14"/>
    </row>
    <row r="509">
      <c r="M509" s="59"/>
      <c r="O509" s="60"/>
      <c r="Q509" s="13"/>
      <c r="R509" s="14"/>
      <c r="S509" s="14"/>
      <c r="T509" s="14"/>
      <c r="U509" s="14"/>
      <c r="V509" s="14"/>
      <c r="W509" s="14"/>
      <c r="X509" s="15"/>
      <c r="Y509" s="14"/>
      <c r="Z509" s="16"/>
      <c r="AA509" s="14"/>
      <c r="AB509" s="14"/>
      <c r="AC509" s="14"/>
      <c r="AD509" s="14"/>
      <c r="AE509" s="14"/>
      <c r="AF509" s="14"/>
      <c r="AG509" s="14"/>
      <c r="AH509" s="14"/>
    </row>
    <row r="510">
      <c r="M510" s="59"/>
      <c r="O510" s="60"/>
      <c r="Q510" s="13"/>
      <c r="R510" s="14"/>
      <c r="S510" s="14"/>
      <c r="T510" s="14"/>
      <c r="U510" s="14"/>
      <c r="V510" s="14"/>
      <c r="W510" s="14"/>
      <c r="X510" s="15"/>
      <c r="Y510" s="14"/>
      <c r="Z510" s="16"/>
      <c r="AA510" s="14"/>
      <c r="AB510" s="14"/>
      <c r="AC510" s="14"/>
      <c r="AD510" s="14"/>
      <c r="AE510" s="14"/>
      <c r="AF510" s="14"/>
      <c r="AG510" s="14"/>
      <c r="AH510" s="14"/>
    </row>
    <row r="511">
      <c r="M511" s="59"/>
      <c r="O511" s="60"/>
      <c r="Q511" s="13"/>
      <c r="R511" s="14"/>
      <c r="S511" s="14"/>
      <c r="T511" s="14"/>
      <c r="U511" s="14"/>
      <c r="V511" s="14"/>
      <c r="W511" s="14"/>
      <c r="X511" s="15"/>
      <c r="Y511" s="14"/>
      <c r="Z511" s="16"/>
      <c r="AA511" s="14"/>
      <c r="AB511" s="14"/>
      <c r="AC511" s="14"/>
      <c r="AD511" s="14"/>
      <c r="AE511" s="14"/>
      <c r="AF511" s="14"/>
      <c r="AG511" s="14"/>
      <c r="AH511" s="14"/>
    </row>
    <row r="512">
      <c r="M512" s="59"/>
      <c r="O512" s="60"/>
      <c r="Q512" s="13"/>
      <c r="R512" s="14"/>
      <c r="S512" s="14"/>
      <c r="T512" s="14"/>
      <c r="U512" s="14"/>
      <c r="V512" s="14"/>
      <c r="W512" s="14"/>
      <c r="X512" s="15"/>
      <c r="Y512" s="14"/>
      <c r="Z512" s="16"/>
      <c r="AA512" s="14"/>
      <c r="AB512" s="14"/>
      <c r="AC512" s="14"/>
      <c r="AD512" s="14"/>
      <c r="AE512" s="14"/>
      <c r="AF512" s="14"/>
      <c r="AG512" s="14"/>
      <c r="AH512" s="14"/>
    </row>
    <row r="513">
      <c r="M513" s="59"/>
      <c r="O513" s="60"/>
      <c r="Q513" s="13"/>
      <c r="R513" s="14"/>
      <c r="S513" s="14"/>
      <c r="T513" s="14"/>
      <c r="U513" s="14"/>
      <c r="V513" s="14"/>
      <c r="W513" s="14"/>
      <c r="X513" s="15"/>
      <c r="Y513" s="14"/>
      <c r="Z513" s="16"/>
      <c r="AA513" s="14"/>
      <c r="AB513" s="14"/>
      <c r="AC513" s="14"/>
      <c r="AD513" s="14"/>
      <c r="AE513" s="14"/>
      <c r="AF513" s="14"/>
      <c r="AG513" s="14"/>
      <c r="AH513" s="14"/>
    </row>
    <row r="514">
      <c r="M514" s="59"/>
      <c r="O514" s="60"/>
      <c r="Q514" s="13"/>
      <c r="R514" s="14"/>
      <c r="S514" s="14"/>
      <c r="T514" s="14"/>
      <c r="U514" s="14"/>
      <c r="V514" s="14"/>
      <c r="W514" s="14"/>
      <c r="X514" s="15"/>
      <c r="Y514" s="14"/>
      <c r="Z514" s="16"/>
      <c r="AA514" s="14"/>
      <c r="AB514" s="14"/>
      <c r="AC514" s="14"/>
      <c r="AD514" s="14"/>
      <c r="AE514" s="14"/>
      <c r="AF514" s="14"/>
      <c r="AG514" s="14"/>
      <c r="AH514" s="14"/>
    </row>
    <row r="515">
      <c r="M515" s="59"/>
      <c r="O515" s="60"/>
      <c r="Q515" s="13"/>
      <c r="R515" s="14"/>
      <c r="S515" s="14"/>
      <c r="T515" s="14"/>
      <c r="U515" s="14"/>
      <c r="V515" s="14"/>
      <c r="W515" s="14"/>
      <c r="X515" s="15"/>
      <c r="Y515" s="14"/>
      <c r="Z515" s="16"/>
      <c r="AA515" s="14"/>
      <c r="AB515" s="14"/>
      <c r="AC515" s="14"/>
      <c r="AD515" s="14"/>
      <c r="AE515" s="14"/>
      <c r="AF515" s="14"/>
      <c r="AG515" s="14"/>
      <c r="AH515" s="14"/>
    </row>
    <row r="516">
      <c r="M516" s="59"/>
      <c r="O516" s="60"/>
      <c r="Q516" s="13"/>
      <c r="R516" s="14"/>
      <c r="S516" s="14"/>
      <c r="T516" s="14"/>
      <c r="U516" s="14"/>
      <c r="V516" s="14"/>
      <c r="W516" s="14"/>
      <c r="X516" s="15"/>
      <c r="Y516" s="14"/>
      <c r="Z516" s="16"/>
      <c r="AA516" s="14"/>
      <c r="AB516" s="14"/>
      <c r="AC516" s="14"/>
      <c r="AD516" s="14"/>
      <c r="AE516" s="14"/>
      <c r="AF516" s="14"/>
      <c r="AG516" s="14"/>
      <c r="AH516" s="14"/>
    </row>
    <row r="517">
      <c r="M517" s="59"/>
      <c r="O517" s="60"/>
      <c r="Q517" s="13"/>
      <c r="R517" s="14"/>
      <c r="S517" s="14"/>
      <c r="T517" s="14"/>
      <c r="U517" s="14"/>
      <c r="V517" s="14"/>
      <c r="W517" s="14"/>
      <c r="X517" s="15"/>
      <c r="Y517" s="14"/>
      <c r="Z517" s="16"/>
      <c r="AA517" s="14"/>
      <c r="AB517" s="14"/>
      <c r="AC517" s="14"/>
      <c r="AD517" s="14"/>
      <c r="AE517" s="14"/>
      <c r="AF517" s="14"/>
      <c r="AG517" s="14"/>
      <c r="AH517" s="14"/>
    </row>
    <row r="518">
      <c r="M518" s="59"/>
      <c r="O518" s="60"/>
      <c r="Q518" s="13"/>
      <c r="R518" s="14"/>
      <c r="S518" s="14"/>
      <c r="T518" s="14"/>
      <c r="U518" s="14"/>
      <c r="V518" s="14"/>
      <c r="W518" s="14"/>
      <c r="X518" s="15"/>
      <c r="Y518" s="14"/>
      <c r="Z518" s="16"/>
      <c r="AA518" s="14"/>
      <c r="AB518" s="14"/>
      <c r="AC518" s="14"/>
      <c r="AD518" s="14"/>
      <c r="AE518" s="14"/>
      <c r="AF518" s="14"/>
      <c r="AG518" s="14"/>
      <c r="AH518" s="14"/>
    </row>
    <row r="519">
      <c r="M519" s="59"/>
      <c r="O519" s="60"/>
      <c r="Q519" s="13"/>
      <c r="R519" s="14"/>
      <c r="S519" s="14"/>
      <c r="T519" s="14"/>
      <c r="U519" s="14"/>
      <c r="V519" s="14"/>
      <c r="W519" s="14"/>
      <c r="X519" s="15"/>
      <c r="Y519" s="14"/>
      <c r="Z519" s="16"/>
      <c r="AA519" s="14"/>
      <c r="AB519" s="14"/>
      <c r="AC519" s="14"/>
      <c r="AD519" s="14"/>
      <c r="AE519" s="14"/>
      <c r="AF519" s="14"/>
      <c r="AG519" s="14"/>
      <c r="AH519" s="14"/>
    </row>
    <row r="520">
      <c r="M520" s="59"/>
      <c r="O520" s="60"/>
      <c r="Q520" s="13"/>
      <c r="R520" s="14"/>
      <c r="S520" s="14"/>
      <c r="T520" s="14"/>
      <c r="U520" s="14"/>
      <c r="V520" s="14"/>
      <c r="W520" s="14"/>
      <c r="X520" s="15"/>
      <c r="Y520" s="14"/>
      <c r="Z520" s="16"/>
      <c r="AA520" s="14"/>
      <c r="AB520" s="14"/>
      <c r="AC520" s="14"/>
      <c r="AD520" s="14"/>
      <c r="AE520" s="14"/>
      <c r="AF520" s="14"/>
      <c r="AG520" s="14"/>
      <c r="AH520" s="14"/>
    </row>
    <row r="521">
      <c r="M521" s="59"/>
      <c r="O521" s="60"/>
      <c r="Q521" s="13"/>
      <c r="R521" s="14"/>
      <c r="S521" s="14"/>
      <c r="T521" s="14"/>
      <c r="U521" s="14"/>
      <c r="V521" s="14"/>
      <c r="W521" s="14"/>
      <c r="X521" s="15"/>
      <c r="Y521" s="14"/>
      <c r="Z521" s="16"/>
      <c r="AA521" s="14"/>
      <c r="AB521" s="14"/>
      <c r="AC521" s="14"/>
      <c r="AD521" s="14"/>
      <c r="AE521" s="14"/>
      <c r="AF521" s="14"/>
      <c r="AG521" s="14"/>
      <c r="AH521" s="14"/>
    </row>
    <row r="522">
      <c r="M522" s="59"/>
      <c r="O522" s="60"/>
      <c r="Q522" s="13"/>
      <c r="R522" s="14"/>
      <c r="S522" s="14"/>
      <c r="T522" s="14"/>
      <c r="U522" s="14"/>
      <c r="V522" s="14"/>
      <c r="W522" s="14"/>
      <c r="X522" s="15"/>
      <c r="Y522" s="14"/>
      <c r="Z522" s="16"/>
      <c r="AA522" s="14"/>
      <c r="AB522" s="14"/>
      <c r="AC522" s="14"/>
      <c r="AD522" s="14"/>
      <c r="AE522" s="14"/>
      <c r="AF522" s="14"/>
      <c r="AG522" s="14"/>
      <c r="AH522" s="14"/>
    </row>
    <row r="523">
      <c r="M523" s="59"/>
      <c r="O523" s="60"/>
      <c r="Q523" s="13"/>
      <c r="R523" s="14"/>
      <c r="S523" s="14"/>
      <c r="T523" s="14"/>
      <c r="U523" s="14"/>
      <c r="V523" s="14"/>
      <c r="W523" s="14"/>
      <c r="X523" s="15"/>
      <c r="Y523" s="14"/>
      <c r="Z523" s="16"/>
      <c r="AA523" s="14"/>
      <c r="AB523" s="14"/>
      <c r="AC523" s="14"/>
      <c r="AD523" s="14"/>
      <c r="AE523" s="14"/>
      <c r="AF523" s="14"/>
      <c r="AG523" s="14"/>
      <c r="AH523" s="14"/>
    </row>
    <row r="524">
      <c r="M524" s="59"/>
      <c r="O524" s="60"/>
      <c r="Q524" s="13"/>
      <c r="R524" s="14"/>
      <c r="S524" s="14"/>
      <c r="T524" s="14"/>
      <c r="U524" s="14"/>
      <c r="V524" s="14"/>
      <c r="W524" s="14"/>
      <c r="X524" s="15"/>
      <c r="Y524" s="14"/>
      <c r="Z524" s="16"/>
      <c r="AA524" s="14"/>
      <c r="AB524" s="14"/>
      <c r="AC524" s="14"/>
      <c r="AD524" s="14"/>
      <c r="AE524" s="14"/>
      <c r="AF524" s="14"/>
      <c r="AG524" s="14"/>
      <c r="AH524" s="14"/>
    </row>
    <row r="525">
      <c r="M525" s="59"/>
      <c r="O525" s="60"/>
      <c r="Q525" s="13"/>
      <c r="R525" s="14"/>
      <c r="S525" s="14"/>
      <c r="T525" s="14"/>
      <c r="U525" s="14"/>
      <c r="V525" s="14"/>
      <c r="W525" s="14"/>
      <c r="X525" s="15"/>
      <c r="Y525" s="14"/>
      <c r="Z525" s="16"/>
      <c r="AA525" s="14"/>
      <c r="AB525" s="14"/>
      <c r="AC525" s="14"/>
      <c r="AD525" s="14"/>
      <c r="AE525" s="14"/>
      <c r="AF525" s="14"/>
      <c r="AG525" s="14"/>
      <c r="AH525" s="14"/>
    </row>
    <row r="526">
      <c r="M526" s="59"/>
      <c r="O526" s="60"/>
      <c r="Q526" s="13"/>
      <c r="R526" s="14"/>
      <c r="S526" s="14"/>
      <c r="T526" s="14"/>
      <c r="U526" s="14"/>
      <c r="V526" s="14"/>
      <c r="W526" s="14"/>
      <c r="X526" s="15"/>
      <c r="Y526" s="14"/>
      <c r="Z526" s="16"/>
      <c r="AA526" s="14"/>
      <c r="AB526" s="14"/>
      <c r="AC526" s="14"/>
      <c r="AD526" s="14"/>
      <c r="AE526" s="14"/>
      <c r="AF526" s="14"/>
      <c r="AG526" s="14"/>
      <c r="AH526" s="14"/>
    </row>
    <row r="527">
      <c r="M527" s="59"/>
      <c r="O527" s="60"/>
      <c r="Q527" s="13"/>
      <c r="R527" s="14"/>
      <c r="S527" s="14"/>
      <c r="T527" s="14"/>
      <c r="U527" s="14"/>
      <c r="V527" s="14"/>
      <c r="W527" s="14"/>
      <c r="X527" s="15"/>
      <c r="Y527" s="14"/>
      <c r="Z527" s="16"/>
      <c r="AA527" s="14"/>
      <c r="AB527" s="14"/>
      <c r="AC527" s="14"/>
      <c r="AD527" s="14"/>
      <c r="AE527" s="14"/>
      <c r="AF527" s="14"/>
      <c r="AG527" s="14"/>
      <c r="AH527" s="14"/>
    </row>
    <row r="528">
      <c r="M528" s="59"/>
      <c r="O528" s="60"/>
      <c r="Q528" s="13"/>
      <c r="R528" s="14"/>
      <c r="S528" s="14"/>
      <c r="T528" s="14"/>
      <c r="U528" s="14"/>
      <c r="V528" s="14"/>
      <c r="W528" s="14"/>
      <c r="X528" s="15"/>
      <c r="Y528" s="14"/>
      <c r="Z528" s="16"/>
      <c r="AA528" s="14"/>
      <c r="AB528" s="14"/>
      <c r="AC528" s="14"/>
      <c r="AD528" s="14"/>
      <c r="AE528" s="14"/>
      <c r="AF528" s="14"/>
      <c r="AG528" s="14"/>
      <c r="AH528" s="14"/>
    </row>
    <row r="529">
      <c r="M529" s="59"/>
      <c r="O529" s="60"/>
      <c r="Q529" s="13"/>
      <c r="R529" s="14"/>
      <c r="S529" s="14"/>
      <c r="T529" s="14"/>
      <c r="U529" s="14"/>
      <c r="V529" s="14"/>
      <c r="W529" s="14"/>
      <c r="X529" s="15"/>
      <c r="Y529" s="14"/>
      <c r="Z529" s="16"/>
      <c r="AA529" s="14"/>
      <c r="AB529" s="14"/>
      <c r="AC529" s="14"/>
      <c r="AD529" s="14"/>
      <c r="AE529" s="14"/>
      <c r="AF529" s="14"/>
      <c r="AG529" s="14"/>
      <c r="AH529" s="14"/>
    </row>
    <row r="530">
      <c r="M530" s="59"/>
      <c r="O530" s="60"/>
      <c r="Q530" s="13"/>
      <c r="R530" s="14"/>
      <c r="S530" s="14"/>
      <c r="T530" s="14"/>
      <c r="U530" s="14"/>
      <c r="V530" s="14"/>
      <c r="W530" s="14"/>
      <c r="X530" s="15"/>
      <c r="Y530" s="14"/>
      <c r="Z530" s="16"/>
      <c r="AA530" s="14"/>
      <c r="AB530" s="14"/>
      <c r="AC530" s="14"/>
      <c r="AD530" s="14"/>
      <c r="AE530" s="14"/>
      <c r="AF530" s="14"/>
      <c r="AG530" s="14"/>
      <c r="AH530" s="14"/>
    </row>
    <row r="531">
      <c r="M531" s="59"/>
      <c r="O531" s="60"/>
      <c r="Q531" s="13"/>
      <c r="R531" s="14"/>
      <c r="S531" s="14"/>
      <c r="T531" s="14"/>
      <c r="U531" s="14"/>
      <c r="V531" s="14"/>
      <c r="W531" s="14"/>
      <c r="X531" s="15"/>
      <c r="Y531" s="14"/>
      <c r="Z531" s="16"/>
      <c r="AA531" s="14"/>
      <c r="AB531" s="14"/>
      <c r="AC531" s="14"/>
      <c r="AD531" s="14"/>
      <c r="AE531" s="14"/>
      <c r="AF531" s="14"/>
      <c r="AG531" s="14"/>
      <c r="AH531" s="14"/>
    </row>
    <row r="532">
      <c r="M532" s="59"/>
      <c r="O532" s="60"/>
      <c r="Q532" s="13"/>
      <c r="R532" s="14"/>
      <c r="S532" s="14"/>
      <c r="T532" s="14"/>
      <c r="U532" s="14"/>
      <c r="V532" s="14"/>
      <c r="W532" s="14"/>
      <c r="X532" s="15"/>
      <c r="Y532" s="14"/>
      <c r="Z532" s="16"/>
      <c r="AA532" s="14"/>
      <c r="AB532" s="14"/>
      <c r="AC532" s="14"/>
      <c r="AD532" s="14"/>
      <c r="AE532" s="14"/>
      <c r="AF532" s="14"/>
      <c r="AG532" s="14"/>
      <c r="AH532" s="14"/>
    </row>
    <row r="533">
      <c r="M533" s="59"/>
      <c r="O533" s="60"/>
      <c r="Q533" s="13"/>
      <c r="R533" s="14"/>
      <c r="S533" s="14"/>
      <c r="T533" s="14"/>
      <c r="U533" s="14"/>
      <c r="V533" s="14"/>
      <c r="W533" s="14"/>
      <c r="X533" s="15"/>
      <c r="Y533" s="14"/>
      <c r="Z533" s="16"/>
      <c r="AA533" s="14"/>
      <c r="AB533" s="14"/>
      <c r="AC533" s="14"/>
      <c r="AD533" s="14"/>
      <c r="AE533" s="14"/>
      <c r="AF533" s="14"/>
      <c r="AG533" s="14"/>
      <c r="AH533" s="14"/>
    </row>
    <row r="534">
      <c r="M534" s="59"/>
      <c r="O534" s="60"/>
      <c r="Q534" s="13"/>
      <c r="R534" s="14"/>
      <c r="S534" s="14"/>
      <c r="T534" s="14"/>
      <c r="U534" s="14"/>
      <c r="V534" s="14"/>
      <c r="W534" s="14"/>
      <c r="X534" s="15"/>
      <c r="Y534" s="14"/>
      <c r="Z534" s="16"/>
      <c r="AA534" s="14"/>
      <c r="AB534" s="14"/>
      <c r="AC534" s="14"/>
      <c r="AD534" s="14"/>
      <c r="AE534" s="14"/>
      <c r="AF534" s="14"/>
      <c r="AG534" s="14"/>
      <c r="AH534" s="14"/>
    </row>
    <row r="535">
      <c r="M535" s="59"/>
      <c r="O535" s="60"/>
      <c r="Q535" s="13"/>
      <c r="R535" s="14"/>
      <c r="S535" s="14"/>
      <c r="T535" s="14"/>
      <c r="U535" s="14"/>
      <c r="V535" s="14"/>
      <c r="W535" s="14"/>
      <c r="X535" s="15"/>
      <c r="Y535" s="14"/>
      <c r="Z535" s="16"/>
      <c r="AA535" s="14"/>
      <c r="AB535" s="14"/>
      <c r="AC535" s="14"/>
      <c r="AD535" s="14"/>
      <c r="AE535" s="14"/>
      <c r="AF535" s="14"/>
      <c r="AG535" s="14"/>
      <c r="AH535" s="14"/>
    </row>
    <row r="536">
      <c r="M536" s="59"/>
      <c r="O536" s="60"/>
      <c r="Q536" s="13"/>
      <c r="R536" s="14"/>
      <c r="S536" s="14"/>
      <c r="T536" s="14"/>
      <c r="U536" s="14"/>
      <c r="V536" s="14"/>
      <c r="W536" s="14"/>
      <c r="X536" s="15"/>
      <c r="Y536" s="14"/>
      <c r="Z536" s="16"/>
      <c r="AA536" s="14"/>
      <c r="AB536" s="14"/>
      <c r="AC536" s="14"/>
      <c r="AD536" s="14"/>
      <c r="AE536" s="14"/>
      <c r="AF536" s="14"/>
      <c r="AG536" s="14"/>
      <c r="AH536" s="14"/>
    </row>
    <row r="537">
      <c r="M537" s="59"/>
      <c r="O537" s="60"/>
      <c r="Q537" s="13"/>
      <c r="R537" s="14"/>
      <c r="S537" s="14"/>
      <c r="T537" s="14"/>
      <c r="U537" s="14"/>
      <c r="V537" s="14"/>
      <c r="W537" s="14"/>
      <c r="X537" s="15"/>
      <c r="Y537" s="14"/>
      <c r="Z537" s="16"/>
      <c r="AA537" s="14"/>
      <c r="AB537" s="14"/>
      <c r="AC537" s="14"/>
      <c r="AD537" s="14"/>
      <c r="AE537" s="14"/>
      <c r="AF537" s="14"/>
      <c r="AG537" s="14"/>
      <c r="AH537" s="14"/>
    </row>
    <row r="538">
      <c r="M538" s="59"/>
      <c r="O538" s="60"/>
      <c r="Q538" s="13"/>
      <c r="R538" s="14"/>
      <c r="S538" s="14"/>
      <c r="T538" s="14"/>
      <c r="U538" s="14"/>
      <c r="V538" s="14"/>
      <c r="W538" s="14"/>
      <c r="X538" s="15"/>
      <c r="Y538" s="14"/>
      <c r="Z538" s="16"/>
      <c r="AA538" s="14"/>
      <c r="AB538" s="14"/>
      <c r="AC538" s="14"/>
      <c r="AD538" s="14"/>
      <c r="AE538" s="14"/>
      <c r="AF538" s="14"/>
      <c r="AG538" s="14"/>
      <c r="AH538" s="14"/>
    </row>
    <row r="539">
      <c r="M539" s="59"/>
      <c r="O539" s="60"/>
      <c r="Q539" s="13"/>
      <c r="R539" s="14"/>
      <c r="S539" s="14"/>
      <c r="T539" s="14"/>
      <c r="U539" s="14"/>
      <c r="V539" s="14"/>
      <c r="W539" s="14"/>
      <c r="X539" s="15"/>
      <c r="Y539" s="14"/>
      <c r="Z539" s="16"/>
      <c r="AA539" s="14"/>
      <c r="AB539" s="14"/>
      <c r="AC539" s="14"/>
      <c r="AD539" s="14"/>
      <c r="AE539" s="14"/>
      <c r="AF539" s="14"/>
      <c r="AG539" s="14"/>
      <c r="AH539" s="14"/>
    </row>
    <row r="540">
      <c r="M540" s="59"/>
      <c r="O540" s="60"/>
      <c r="Q540" s="13"/>
      <c r="R540" s="14"/>
      <c r="S540" s="14"/>
      <c r="T540" s="14"/>
      <c r="U540" s="14"/>
      <c r="V540" s="14"/>
      <c r="W540" s="14"/>
      <c r="X540" s="15"/>
      <c r="Y540" s="14"/>
      <c r="Z540" s="16"/>
      <c r="AA540" s="14"/>
      <c r="AB540" s="14"/>
      <c r="AC540" s="14"/>
      <c r="AD540" s="14"/>
      <c r="AE540" s="14"/>
      <c r="AF540" s="14"/>
      <c r="AG540" s="14"/>
      <c r="AH540" s="14"/>
    </row>
    <row r="541">
      <c r="M541" s="59"/>
      <c r="O541" s="60"/>
      <c r="Q541" s="13"/>
      <c r="R541" s="14"/>
      <c r="S541" s="14"/>
      <c r="T541" s="14"/>
      <c r="U541" s="14"/>
      <c r="V541" s="14"/>
      <c r="W541" s="14"/>
      <c r="X541" s="15"/>
      <c r="Y541" s="14"/>
      <c r="Z541" s="16"/>
      <c r="AA541" s="14"/>
      <c r="AB541" s="14"/>
      <c r="AC541" s="14"/>
      <c r="AD541" s="14"/>
      <c r="AE541" s="14"/>
      <c r="AF541" s="14"/>
      <c r="AG541" s="14"/>
      <c r="AH541" s="14"/>
    </row>
    <row r="542">
      <c r="M542" s="59"/>
      <c r="O542" s="60"/>
      <c r="Q542" s="13"/>
      <c r="R542" s="14"/>
      <c r="S542" s="14"/>
      <c r="T542" s="14"/>
      <c r="U542" s="14"/>
      <c r="V542" s="14"/>
      <c r="W542" s="14"/>
      <c r="X542" s="15"/>
      <c r="Y542" s="14"/>
      <c r="Z542" s="16"/>
      <c r="AA542" s="14"/>
      <c r="AB542" s="14"/>
      <c r="AC542" s="14"/>
      <c r="AD542" s="14"/>
      <c r="AE542" s="14"/>
      <c r="AF542" s="14"/>
      <c r="AG542" s="14"/>
      <c r="AH542" s="14"/>
    </row>
    <row r="543">
      <c r="M543" s="59"/>
      <c r="O543" s="60"/>
      <c r="Q543" s="13"/>
      <c r="R543" s="14"/>
      <c r="S543" s="14"/>
      <c r="T543" s="14"/>
      <c r="U543" s="14"/>
      <c r="V543" s="14"/>
      <c r="W543" s="14"/>
      <c r="X543" s="15"/>
      <c r="Y543" s="14"/>
      <c r="Z543" s="16"/>
      <c r="AA543" s="14"/>
      <c r="AB543" s="14"/>
      <c r="AC543" s="14"/>
      <c r="AD543" s="14"/>
      <c r="AE543" s="14"/>
      <c r="AF543" s="14"/>
      <c r="AG543" s="14"/>
      <c r="AH543" s="14"/>
    </row>
    <row r="544">
      <c r="M544" s="59"/>
      <c r="O544" s="60"/>
      <c r="Q544" s="13"/>
      <c r="R544" s="14"/>
      <c r="S544" s="14"/>
      <c r="T544" s="14"/>
      <c r="U544" s="14"/>
      <c r="V544" s="14"/>
      <c r="W544" s="14"/>
      <c r="X544" s="15"/>
      <c r="Y544" s="14"/>
      <c r="Z544" s="16"/>
      <c r="AA544" s="14"/>
      <c r="AB544" s="14"/>
      <c r="AC544" s="14"/>
      <c r="AD544" s="14"/>
      <c r="AE544" s="14"/>
      <c r="AF544" s="14"/>
      <c r="AG544" s="14"/>
      <c r="AH544" s="14"/>
    </row>
    <row r="545">
      <c r="M545" s="59"/>
      <c r="O545" s="60"/>
      <c r="Q545" s="13"/>
      <c r="R545" s="14"/>
      <c r="S545" s="14"/>
      <c r="T545" s="14"/>
      <c r="U545" s="14"/>
      <c r="V545" s="14"/>
      <c r="W545" s="14"/>
      <c r="X545" s="15"/>
      <c r="Y545" s="14"/>
      <c r="Z545" s="16"/>
      <c r="AA545" s="14"/>
      <c r="AB545" s="14"/>
      <c r="AC545" s="14"/>
      <c r="AD545" s="14"/>
      <c r="AE545" s="14"/>
      <c r="AF545" s="14"/>
      <c r="AG545" s="14"/>
      <c r="AH545" s="14"/>
    </row>
    <row r="546">
      <c r="M546" s="59"/>
      <c r="O546" s="60"/>
      <c r="Q546" s="13"/>
      <c r="R546" s="14"/>
      <c r="S546" s="14"/>
      <c r="T546" s="14"/>
      <c r="U546" s="14"/>
      <c r="V546" s="14"/>
      <c r="W546" s="14"/>
      <c r="X546" s="15"/>
      <c r="Y546" s="14"/>
      <c r="Z546" s="16"/>
      <c r="AA546" s="14"/>
      <c r="AB546" s="14"/>
      <c r="AC546" s="14"/>
      <c r="AD546" s="14"/>
      <c r="AE546" s="14"/>
      <c r="AF546" s="14"/>
      <c r="AG546" s="14"/>
      <c r="AH546" s="14"/>
    </row>
    <row r="547">
      <c r="M547" s="59"/>
      <c r="O547" s="60"/>
      <c r="Q547" s="13"/>
      <c r="R547" s="14"/>
      <c r="S547" s="14"/>
      <c r="T547" s="14"/>
      <c r="U547" s="14"/>
      <c r="V547" s="14"/>
      <c r="W547" s="14"/>
      <c r="X547" s="15"/>
      <c r="Y547" s="14"/>
      <c r="Z547" s="16"/>
      <c r="AA547" s="14"/>
      <c r="AB547" s="14"/>
      <c r="AC547" s="14"/>
      <c r="AD547" s="14"/>
      <c r="AE547" s="14"/>
      <c r="AF547" s="14"/>
      <c r="AG547" s="14"/>
      <c r="AH547" s="14"/>
    </row>
    <row r="548">
      <c r="M548" s="59"/>
      <c r="O548" s="60"/>
      <c r="Q548" s="13"/>
      <c r="R548" s="14"/>
      <c r="S548" s="14"/>
      <c r="T548" s="14"/>
      <c r="U548" s="14"/>
      <c r="V548" s="14"/>
      <c r="W548" s="14"/>
      <c r="X548" s="15"/>
      <c r="Y548" s="14"/>
      <c r="Z548" s="16"/>
      <c r="AA548" s="14"/>
      <c r="AB548" s="14"/>
      <c r="AC548" s="14"/>
      <c r="AD548" s="14"/>
      <c r="AE548" s="14"/>
      <c r="AF548" s="14"/>
      <c r="AG548" s="14"/>
      <c r="AH548" s="14"/>
    </row>
    <row r="549">
      <c r="M549" s="59"/>
      <c r="O549" s="60"/>
      <c r="Q549" s="13"/>
      <c r="R549" s="14"/>
      <c r="S549" s="14"/>
      <c r="T549" s="14"/>
      <c r="U549" s="14"/>
      <c r="V549" s="14"/>
      <c r="W549" s="14"/>
      <c r="X549" s="15"/>
      <c r="Y549" s="14"/>
      <c r="Z549" s="16"/>
      <c r="AA549" s="14"/>
      <c r="AB549" s="14"/>
      <c r="AC549" s="14"/>
      <c r="AD549" s="14"/>
      <c r="AE549" s="14"/>
      <c r="AF549" s="14"/>
      <c r="AG549" s="14"/>
      <c r="AH549" s="14"/>
    </row>
    <row r="550">
      <c r="M550" s="59"/>
      <c r="O550" s="60"/>
      <c r="Q550" s="13"/>
      <c r="R550" s="14"/>
      <c r="S550" s="14"/>
      <c r="T550" s="14"/>
      <c r="U550" s="14"/>
      <c r="V550" s="14"/>
      <c r="W550" s="14"/>
      <c r="X550" s="15"/>
      <c r="Y550" s="14"/>
      <c r="Z550" s="16"/>
      <c r="AA550" s="14"/>
      <c r="AB550" s="14"/>
      <c r="AC550" s="14"/>
      <c r="AD550" s="14"/>
      <c r="AE550" s="14"/>
      <c r="AF550" s="14"/>
      <c r="AG550" s="14"/>
      <c r="AH550" s="14"/>
    </row>
    <row r="551">
      <c r="M551" s="59"/>
      <c r="O551" s="60"/>
      <c r="Q551" s="13"/>
      <c r="R551" s="14"/>
      <c r="S551" s="14"/>
      <c r="T551" s="14"/>
      <c r="U551" s="14"/>
      <c r="V551" s="14"/>
      <c r="W551" s="14"/>
      <c r="X551" s="15"/>
      <c r="Y551" s="14"/>
      <c r="Z551" s="16"/>
      <c r="AA551" s="14"/>
      <c r="AB551" s="14"/>
      <c r="AC551" s="14"/>
      <c r="AD551" s="14"/>
      <c r="AE551" s="14"/>
      <c r="AF551" s="14"/>
      <c r="AG551" s="14"/>
      <c r="AH551" s="14"/>
    </row>
    <row r="552">
      <c r="M552" s="59"/>
      <c r="O552" s="60"/>
      <c r="Q552" s="13"/>
      <c r="R552" s="14"/>
      <c r="S552" s="14"/>
      <c r="T552" s="14"/>
      <c r="U552" s="14"/>
      <c r="V552" s="14"/>
      <c r="W552" s="14"/>
      <c r="X552" s="15"/>
      <c r="Y552" s="14"/>
      <c r="Z552" s="16"/>
      <c r="AA552" s="14"/>
      <c r="AB552" s="14"/>
      <c r="AC552" s="14"/>
      <c r="AD552" s="14"/>
      <c r="AE552" s="14"/>
      <c r="AF552" s="14"/>
      <c r="AG552" s="14"/>
      <c r="AH552" s="14"/>
    </row>
    <row r="553">
      <c r="M553" s="59"/>
      <c r="O553" s="60"/>
      <c r="Q553" s="13"/>
      <c r="R553" s="14"/>
      <c r="S553" s="14"/>
      <c r="T553" s="14"/>
      <c r="U553" s="14"/>
      <c r="V553" s="14"/>
      <c r="W553" s="14"/>
      <c r="X553" s="15"/>
      <c r="Y553" s="14"/>
      <c r="Z553" s="16"/>
      <c r="AA553" s="14"/>
      <c r="AB553" s="14"/>
      <c r="AC553" s="14"/>
      <c r="AD553" s="14"/>
      <c r="AE553" s="14"/>
      <c r="AF553" s="14"/>
      <c r="AG553" s="14"/>
      <c r="AH553" s="14"/>
    </row>
    <row r="554">
      <c r="M554" s="59"/>
      <c r="O554" s="60"/>
      <c r="Q554" s="13"/>
      <c r="R554" s="14"/>
      <c r="S554" s="14"/>
      <c r="T554" s="14"/>
      <c r="U554" s="14"/>
      <c r="V554" s="14"/>
      <c r="W554" s="14"/>
      <c r="X554" s="15"/>
      <c r="Y554" s="14"/>
      <c r="Z554" s="16"/>
      <c r="AA554" s="14"/>
      <c r="AB554" s="14"/>
      <c r="AC554" s="14"/>
      <c r="AD554" s="14"/>
      <c r="AE554" s="14"/>
      <c r="AF554" s="14"/>
      <c r="AG554" s="14"/>
      <c r="AH554" s="14"/>
    </row>
    <row r="555">
      <c r="M555" s="59"/>
      <c r="O555" s="60"/>
      <c r="Q555" s="13"/>
      <c r="R555" s="14"/>
      <c r="S555" s="14"/>
      <c r="T555" s="14"/>
      <c r="U555" s="14"/>
      <c r="V555" s="14"/>
      <c r="W555" s="14"/>
      <c r="X555" s="15"/>
      <c r="Y555" s="14"/>
      <c r="Z555" s="16"/>
      <c r="AA555" s="14"/>
      <c r="AB555" s="14"/>
      <c r="AC555" s="14"/>
      <c r="AD555" s="14"/>
      <c r="AE555" s="14"/>
      <c r="AF555" s="14"/>
      <c r="AG555" s="14"/>
      <c r="AH555" s="14"/>
    </row>
    <row r="556">
      <c r="M556" s="59"/>
      <c r="O556" s="60"/>
      <c r="Q556" s="13"/>
      <c r="R556" s="14"/>
      <c r="S556" s="14"/>
      <c r="T556" s="14"/>
      <c r="U556" s="14"/>
      <c r="V556" s="14"/>
      <c r="W556" s="14"/>
      <c r="X556" s="15"/>
      <c r="Y556" s="14"/>
      <c r="Z556" s="16"/>
      <c r="AA556" s="14"/>
      <c r="AB556" s="14"/>
      <c r="AC556" s="14"/>
      <c r="AD556" s="14"/>
      <c r="AE556" s="14"/>
      <c r="AF556" s="14"/>
      <c r="AG556" s="14"/>
      <c r="AH556" s="14"/>
    </row>
    <row r="557">
      <c r="M557" s="59"/>
      <c r="O557" s="60"/>
      <c r="Q557" s="13"/>
      <c r="R557" s="14"/>
      <c r="S557" s="14"/>
      <c r="T557" s="14"/>
      <c r="U557" s="14"/>
      <c r="V557" s="14"/>
      <c r="W557" s="14"/>
      <c r="X557" s="15"/>
      <c r="Y557" s="14"/>
      <c r="Z557" s="16"/>
      <c r="AA557" s="14"/>
      <c r="AB557" s="14"/>
      <c r="AC557" s="14"/>
      <c r="AD557" s="14"/>
      <c r="AE557" s="14"/>
      <c r="AF557" s="14"/>
      <c r="AG557" s="14"/>
      <c r="AH557" s="14"/>
    </row>
    <row r="558">
      <c r="M558" s="59"/>
      <c r="O558" s="60"/>
      <c r="Q558" s="13"/>
      <c r="R558" s="14"/>
      <c r="S558" s="14"/>
      <c r="T558" s="14"/>
      <c r="U558" s="14"/>
      <c r="V558" s="14"/>
      <c r="W558" s="14"/>
      <c r="X558" s="15"/>
      <c r="Y558" s="14"/>
      <c r="Z558" s="16"/>
      <c r="AA558" s="14"/>
      <c r="AB558" s="14"/>
      <c r="AC558" s="14"/>
      <c r="AD558" s="14"/>
      <c r="AE558" s="14"/>
      <c r="AF558" s="14"/>
      <c r="AG558" s="14"/>
      <c r="AH558" s="14"/>
    </row>
    <row r="559">
      <c r="M559" s="59"/>
      <c r="O559" s="60"/>
      <c r="Q559" s="13"/>
      <c r="R559" s="14"/>
      <c r="S559" s="14"/>
      <c r="T559" s="14"/>
      <c r="U559" s="14"/>
      <c r="V559" s="14"/>
      <c r="W559" s="14"/>
      <c r="X559" s="15"/>
      <c r="Y559" s="14"/>
      <c r="Z559" s="16"/>
      <c r="AA559" s="14"/>
      <c r="AB559" s="14"/>
      <c r="AC559" s="14"/>
      <c r="AD559" s="14"/>
      <c r="AE559" s="14"/>
      <c r="AF559" s="14"/>
      <c r="AG559" s="14"/>
      <c r="AH559" s="14"/>
    </row>
    <row r="560">
      <c r="M560" s="59"/>
      <c r="O560" s="60"/>
      <c r="Q560" s="13"/>
      <c r="R560" s="14"/>
      <c r="S560" s="14"/>
      <c r="T560" s="14"/>
      <c r="U560" s="14"/>
      <c r="V560" s="14"/>
      <c r="W560" s="14"/>
      <c r="X560" s="15"/>
      <c r="Y560" s="14"/>
      <c r="Z560" s="16"/>
      <c r="AA560" s="14"/>
      <c r="AB560" s="14"/>
      <c r="AC560" s="14"/>
      <c r="AD560" s="14"/>
      <c r="AE560" s="14"/>
      <c r="AF560" s="14"/>
      <c r="AG560" s="14"/>
      <c r="AH560" s="14"/>
    </row>
    <row r="561">
      <c r="M561" s="59"/>
      <c r="O561" s="60"/>
      <c r="Q561" s="13"/>
      <c r="R561" s="14"/>
      <c r="S561" s="14"/>
      <c r="T561" s="14"/>
      <c r="U561" s="14"/>
      <c r="V561" s="14"/>
      <c r="W561" s="14"/>
      <c r="X561" s="15"/>
      <c r="Y561" s="14"/>
      <c r="Z561" s="16"/>
      <c r="AA561" s="14"/>
      <c r="AB561" s="14"/>
      <c r="AC561" s="14"/>
      <c r="AD561" s="14"/>
      <c r="AE561" s="14"/>
      <c r="AF561" s="14"/>
      <c r="AG561" s="14"/>
      <c r="AH561" s="14"/>
    </row>
    <row r="562">
      <c r="M562" s="59"/>
      <c r="O562" s="60"/>
      <c r="Q562" s="13"/>
      <c r="R562" s="14"/>
      <c r="S562" s="14"/>
      <c r="T562" s="14"/>
      <c r="U562" s="14"/>
      <c r="V562" s="14"/>
      <c r="W562" s="14"/>
      <c r="X562" s="15"/>
      <c r="Y562" s="14"/>
      <c r="Z562" s="16"/>
      <c r="AA562" s="14"/>
      <c r="AB562" s="14"/>
      <c r="AC562" s="14"/>
      <c r="AD562" s="14"/>
      <c r="AE562" s="14"/>
      <c r="AF562" s="14"/>
      <c r="AG562" s="14"/>
      <c r="AH562" s="14"/>
    </row>
    <row r="563">
      <c r="M563" s="59"/>
      <c r="O563" s="60"/>
      <c r="Q563" s="13"/>
      <c r="R563" s="14"/>
      <c r="S563" s="14"/>
      <c r="T563" s="14"/>
      <c r="U563" s="14"/>
      <c r="V563" s="14"/>
      <c r="W563" s="14"/>
      <c r="X563" s="15"/>
      <c r="Y563" s="14"/>
      <c r="Z563" s="16"/>
      <c r="AA563" s="14"/>
      <c r="AB563" s="14"/>
      <c r="AC563" s="14"/>
      <c r="AD563" s="14"/>
      <c r="AE563" s="14"/>
      <c r="AF563" s="14"/>
      <c r="AG563" s="14"/>
      <c r="AH563" s="14"/>
    </row>
    <row r="564">
      <c r="M564" s="59"/>
      <c r="O564" s="60"/>
      <c r="Q564" s="13"/>
      <c r="R564" s="14"/>
      <c r="S564" s="14"/>
      <c r="T564" s="14"/>
      <c r="U564" s="14"/>
      <c r="V564" s="14"/>
      <c r="W564" s="14"/>
      <c r="X564" s="15"/>
      <c r="Y564" s="14"/>
      <c r="Z564" s="16"/>
      <c r="AA564" s="14"/>
      <c r="AB564" s="14"/>
      <c r="AC564" s="14"/>
      <c r="AD564" s="14"/>
      <c r="AE564" s="14"/>
      <c r="AF564" s="14"/>
      <c r="AG564" s="14"/>
      <c r="AH564" s="14"/>
    </row>
    <row r="565">
      <c r="M565" s="59"/>
      <c r="O565" s="60"/>
      <c r="Q565" s="13"/>
      <c r="R565" s="14"/>
      <c r="S565" s="14"/>
      <c r="T565" s="14"/>
      <c r="U565" s="14"/>
      <c r="V565" s="14"/>
      <c r="W565" s="14"/>
      <c r="X565" s="15"/>
      <c r="Y565" s="14"/>
      <c r="Z565" s="16"/>
      <c r="AA565" s="14"/>
      <c r="AB565" s="14"/>
      <c r="AC565" s="14"/>
      <c r="AD565" s="14"/>
      <c r="AE565" s="14"/>
      <c r="AF565" s="14"/>
      <c r="AG565" s="14"/>
      <c r="AH565" s="14"/>
    </row>
    <row r="566">
      <c r="M566" s="59"/>
      <c r="O566" s="60"/>
      <c r="Q566" s="13"/>
      <c r="R566" s="14"/>
      <c r="S566" s="14"/>
      <c r="T566" s="14"/>
      <c r="U566" s="14"/>
      <c r="V566" s="14"/>
      <c r="W566" s="14"/>
      <c r="X566" s="15"/>
      <c r="Y566" s="14"/>
      <c r="Z566" s="16"/>
      <c r="AA566" s="14"/>
      <c r="AB566" s="14"/>
      <c r="AC566" s="14"/>
      <c r="AD566" s="14"/>
      <c r="AE566" s="14"/>
      <c r="AF566" s="14"/>
      <c r="AG566" s="14"/>
      <c r="AH566" s="14"/>
    </row>
    <row r="567">
      <c r="M567" s="59"/>
      <c r="O567" s="60"/>
      <c r="Q567" s="13"/>
      <c r="R567" s="14"/>
      <c r="S567" s="14"/>
      <c r="T567" s="14"/>
      <c r="U567" s="14"/>
      <c r="V567" s="14"/>
      <c r="W567" s="14"/>
      <c r="X567" s="15"/>
      <c r="Y567" s="14"/>
      <c r="Z567" s="16"/>
      <c r="AA567" s="14"/>
      <c r="AB567" s="14"/>
      <c r="AC567" s="14"/>
      <c r="AD567" s="14"/>
      <c r="AE567" s="14"/>
      <c r="AF567" s="14"/>
      <c r="AG567" s="14"/>
      <c r="AH567" s="14"/>
    </row>
    <row r="568">
      <c r="M568" s="59"/>
      <c r="O568" s="60"/>
      <c r="Q568" s="13"/>
      <c r="R568" s="14"/>
      <c r="S568" s="14"/>
      <c r="T568" s="14"/>
      <c r="U568" s="14"/>
      <c r="V568" s="14"/>
      <c r="W568" s="14"/>
      <c r="X568" s="15"/>
      <c r="Y568" s="14"/>
      <c r="Z568" s="16"/>
      <c r="AA568" s="14"/>
      <c r="AB568" s="14"/>
      <c r="AC568" s="14"/>
      <c r="AD568" s="14"/>
      <c r="AE568" s="14"/>
      <c r="AF568" s="14"/>
      <c r="AG568" s="14"/>
      <c r="AH568" s="14"/>
    </row>
    <row r="569">
      <c r="M569" s="59"/>
      <c r="O569" s="60"/>
      <c r="Q569" s="13"/>
      <c r="R569" s="14"/>
      <c r="S569" s="14"/>
      <c r="T569" s="14"/>
      <c r="U569" s="14"/>
      <c r="V569" s="14"/>
      <c r="W569" s="14"/>
      <c r="X569" s="15"/>
      <c r="Y569" s="14"/>
      <c r="Z569" s="16"/>
      <c r="AA569" s="14"/>
      <c r="AB569" s="14"/>
      <c r="AC569" s="14"/>
      <c r="AD569" s="14"/>
      <c r="AE569" s="14"/>
      <c r="AF569" s="14"/>
      <c r="AG569" s="14"/>
      <c r="AH569" s="14"/>
    </row>
    <row r="570">
      <c r="M570" s="59"/>
      <c r="O570" s="60"/>
      <c r="Q570" s="13"/>
      <c r="R570" s="14"/>
      <c r="S570" s="14"/>
      <c r="T570" s="14"/>
      <c r="U570" s="14"/>
      <c r="V570" s="14"/>
      <c r="W570" s="14"/>
      <c r="X570" s="15"/>
      <c r="Y570" s="14"/>
      <c r="Z570" s="16"/>
      <c r="AA570" s="14"/>
      <c r="AB570" s="14"/>
      <c r="AC570" s="14"/>
      <c r="AD570" s="14"/>
      <c r="AE570" s="14"/>
      <c r="AF570" s="14"/>
      <c r="AG570" s="14"/>
      <c r="AH570" s="14"/>
    </row>
    <row r="571">
      <c r="M571" s="59"/>
      <c r="O571" s="60"/>
      <c r="Q571" s="13"/>
      <c r="R571" s="14"/>
      <c r="S571" s="14"/>
      <c r="T571" s="14"/>
      <c r="U571" s="14"/>
      <c r="V571" s="14"/>
      <c r="W571" s="14"/>
      <c r="X571" s="15"/>
      <c r="Y571" s="14"/>
      <c r="Z571" s="16"/>
      <c r="AA571" s="14"/>
      <c r="AB571" s="14"/>
      <c r="AC571" s="14"/>
      <c r="AD571" s="14"/>
      <c r="AE571" s="14"/>
      <c r="AF571" s="14"/>
      <c r="AG571" s="14"/>
      <c r="AH571" s="14"/>
    </row>
    <row r="572">
      <c r="M572" s="59"/>
      <c r="O572" s="60"/>
      <c r="Q572" s="13"/>
      <c r="R572" s="14"/>
      <c r="S572" s="14"/>
      <c r="T572" s="14"/>
      <c r="U572" s="14"/>
      <c r="V572" s="14"/>
      <c r="W572" s="14"/>
      <c r="X572" s="15"/>
      <c r="Y572" s="14"/>
      <c r="Z572" s="16"/>
      <c r="AA572" s="14"/>
      <c r="AB572" s="14"/>
      <c r="AC572" s="14"/>
      <c r="AD572" s="14"/>
      <c r="AE572" s="14"/>
      <c r="AF572" s="14"/>
      <c r="AG572" s="14"/>
      <c r="AH572" s="14"/>
    </row>
    <row r="573">
      <c r="M573" s="59"/>
      <c r="O573" s="60"/>
      <c r="Q573" s="13"/>
      <c r="R573" s="14"/>
      <c r="S573" s="14"/>
      <c r="T573" s="14"/>
      <c r="U573" s="14"/>
      <c r="V573" s="14"/>
      <c r="W573" s="14"/>
      <c r="X573" s="15"/>
      <c r="Y573" s="14"/>
      <c r="Z573" s="16"/>
      <c r="AA573" s="14"/>
      <c r="AB573" s="14"/>
      <c r="AC573" s="14"/>
      <c r="AD573" s="14"/>
      <c r="AE573" s="14"/>
      <c r="AF573" s="14"/>
      <c r="AG573" s="14"/>
      <c r="AH573" s="14"/>
    </row>
    <row r="574">
      <c r="M574" s="59"/>
      <c r="O574" s="60"/>
      <c r="Q574" s="13"/>
      <c r="R574" s="14"/>
      <c r="S574" s="14"/>
      <c r="T574" s="14"/>
      <c r="U574" s="14"/>
      <c r="V574" s="14"/>
      <c r="W574" s="14"/>
      <c r="X574" s="15"/>
      <c r="Y574" s="14"/>
      <c r="Z574" s="16"/>
      <c r="AA574" s="14"/>
      <c r="AB574" s="14"/>
      <c r="AC574" s="14"/>
      <c r="AD574" s="14"/>
      <c r="AE574" s="14"/>
      <c r="AF574" s="14"/>
      <c r="AG574" s="14"/>
      <c r="AH574" s="14"/>
    </row>
    <row r="575">
      <c r="M575" s="59"/>
      <c r="O575" s="60"/>
      <c r="Q575" s="13"/>
      <c r="R575" s="14"/>
      <c r="S575" s="14"/>
      <c r="T575" s="14"/>
      <c r="U575" s="14"/>
      <c r="V575" s="14"/>
      <c r="W575" s="14"/>
      <c r="X575" s="15"/>
      <c r="Y575" s="14"/>
      <c r="Z575" s="16"/>
      <c r="AA575" s="14"/>
      <c r="AB575" s="14"/>
      <c r="AC575" s="14"/>
      <c r="AD575" s="14"/>
      <c r="AE575" s="14"/>
      <c r="AF575" s="14"/>
      <c r="AG575" s="14"/>
      <c r="AH575" s="14"/>
    </row>
    <row r="576">
      <c r="M576" s="59"/>
      <c r="O576" s="60"/>
      <c r="Q576" s="13"/>
      <c r="R576" s="14"/>
      <c r="S576" s="14"/>
      <c r="T576" s="14"/>
      <c r="U576" s="14"/>
      <c r="V576" s="14"/>
      <c r="W576" s="14"/>
      <c r="X576" s="15"/>
      <c r="Y576" s="14"/>
      <c r="Z576" s="16"/>
      <c r="AA576" s="14"/>
      <c r="AB576" s="14"/>
      <c r="AC576" s="14"/>
      <c r="AD576" s="14"/>
      <c r="AE576" s="14"/>
      <c r="AF576" s="14"/>
      <c r="AG576" s="14"/>
      <c r="AH576" s="14"/>
    </row>
    <row r="577">
      <c r="M577" s="59"/>
      <c r="O577" s="60"/>
      <c r="Q577" s="13"/>
      <c r="R577" s="14"/>
      <c r="S577" s="14"/>
      <c r="T577" s="14"/>
      <c r="U577" s="14"/>
      <c r="V577" s="14"/>
      <c r="W577" s="14"/>
      <c r="X577" s="15"/>
      <c r="Y577" s="14"/>
      <c r="Z577" s="16"/>
      <c r="AA577" s="14"/>
      <c r="AB577" s="14"/>
      <c r="AC577" s="14"/>
      <c r="AD577" s="14"/>
      <c r="AE577" s="14"/>
      <c r="AF577" s="14"/>
      <c r="AG577" s="14"/>
      <c r="AH577" s="14"/>
    </row>
    <row r="578">
      <c r="M578" s="59"/>
      <c r="O578" s="60"/>
      <c r="Q578" s="13"/>
      <c r="R578" s="14"/>
      <c r="S578" s="14"/>
      <c r="T578" s="14"/>
      <c r="U578" s="14"/>
      <c r="V578" s="14"/>
      <c r="W578" s="14"/>
      <c r="X578" s="15"/>
      <c r="Y578" s="14"/>
      <c r="Z578" s="16"/>
      <c r="AA578" s="14"/>
      <c r="AB578" s="14"/>
      <c r="AC578" s="14"/>
      <c r="AD578" s="14"/>
      <c r="AE578" s="14"/>
      <c r="AF578" s="14"/>
      <c r="AG578" s="14"/>
      <c r="AH578" s="14"/>
    </row>
    <row r="579">
      <c r="M579" s="59"/>
      <c r="O579" s="60"/>
      <c r="Q579" s="13"/>
      <c r="R579" s="14"/>
      <c r="S579" s="14"/>
      <c r="T579" s="14"/>
      <c r="U579" s="14"/>
      <c r="V579" s="14"/>
      <c r="W579" s="14"/>
      <c r="X579" s="15"/>
      <c r="Y579" s="14"/>
      <c r="Z579" s="16"/>
      <c r="AA579" s="14"/>
      <c r="AB579" s="14"/>
      <c r="AC579" s="14"/>
      <c r="AD579" s="14"/>
      <c r="AE579" s="14"/>
      <c r="AF579" s="14"/>
      <c r="AG579" s="14"/>
      <c r="AH579" s="14"/>
    </row>
    <row r="580">
      <c r="M580" s="59"/>
      <c r="O580" s="60"/>
      <c r="Q580" s="13"/>
      <c r="R580" s="14"/>
      <c r="S580" s="14"/>
      <c r="T580" s="14"/>
      <c r="U580" s="14"/>
      <c r="V580" s="14"/>
      <c r="W580" s="14"/>
      <c r="X580" s="15"/>
      <c r="Y580" s="14"/>
      <c r="Z580" s="16"/>
      <c r="AA580" s="14"/>
      <c r="AB580" s="14"/>
      <c r="AC580" s="14"/>
      <c r="AD580" s="14"/>
      <c r="AE580" s="14"/>
      <c r="AF580" s="14"/>
      <c r="AG580" s="14"/>
      <c r="AH580" s="14"/>
    </row>
    <row r="581">
      <c r="M581" s="59"/>
      <c r="O581" s="60"/>
      <c r="Q581" s="13"/>
      <c r="R581" s="14"/>
      <c r="S581" s="14"/>
      <c r="T581" s="14"/>
      <c r="U581" s="14"/>
      <c r="V581" s="14"/>
      <c r="W581" s="14"/>
      <c r="X581" s="15"/>
      <c r="Y581" s="14"/>
      <c r="Z581" s="16"/>
      <c r="AA581" s="14"/>
      <c r="AB581" s="14"/>
      <c r="AC581" s="14"/>
      <c r="AD581" s="14"/>
      <c r="AE581" s="14"/>
      <c r="AF581" s="14"/>
      <c r="AG581" s="14"/>
      <c r="AH581" s="14"/>
    </row>
    <row r="582">
      <c r="M582" s="59"/>
      <c r="O582" s="60"/>
      <c r="Q582" s="13"/>
      <c r="R582" s="14"/>
      <c r="S582" s="14"/>
      <c r="T582" s="14"/>
      <c r="U582" s="14"/>
      <c r="V582" s="14"/>
      <c r="W582" s="14"/>
      <c r="X582" s="15"/>
      <c r="Y582" s="14"/>
      <c r="Z582" s="16"/>
      <c r="AA582" s="14"/>
      <c r="AB582" s="14"/>
      <c r="AC582" s="14"/>
      <c r="AD582" s="14"/>
      <c r="AE582" s="14"/>
      <c r="AF582" s="14"/>
      <c r="AG582" s="14"/>
      <c r="AH582" s="14"/>
    </row>
    <row r="583">
      <c r="M583" s="59"/>
      <c r="O583" s="60"/>
      <c r="Q583" s="13"/>
      <c r="R583" s="14"/>
      <c r="S583" s="14"/>
      <c r="T583" s="14"/>
      <c r="U583" s="14"/>
      <c r="V583" s="14"/>
      <c r="W583" s="14"/>
      <c r="X583" s="15"/>
      <c r="Y583" s="14"/>
      <c r="Z583" s="16"/>
      <c r="AA583" s="14"/>
      <c r="AB583" s="14"/>
      <c r="AC583" s="14"/>
      <c r="AD583" s="14"/>
      <c r="AE583" s="14"/>
      <c r="AF583" s="14"/>
      <c r="AG583" s="14"/>
      <c r="AH583" s="14"/>
    </row>
    <row r="584">
      <c r="M584" s="59"/>
      <c r="O584" s="60"/>
      <c r="Q584" s="13"/>
      <c r="R584" s="14"/>
      <c r="S584" s="14"/>
      <c r="T584" s="14"/>
      <c r="U584" s="14"/>
      <c r="V584" s="14"/>
      <c r="W584" s="14"/>
      <c r="X584" s="15"/>
      <c r="Y584" s="14"/>
      <c r="Z584" s="16"/>
      <c r="AA584" s="14"/>
      <c r="AB584" s="14"/>
      <c r="AC584" s="14"/>
      <c r="AD584" s="14"/>
      <c r="AE584" s="14"/>
      <c r="AF584" s="14"/>
      <c r="AG584" s="14"/>
      <c r="AH584" s="14"/>
    </row>
    <row r="585">
      <c r="M585" s="59"/>
      <c r="O585" s="60"/>
      <c r="Q585" s="13"/>
      <c r="R585" s="14"/>
      <c r="S585" s="14"/>
      <c r="T585" s="14"/>
      <c r="U585" s="14"/>
      <c r="V585" s="14"/>
      <c r="W585" s="14"/>
      <c r="X585" s="15"/>
      <c r="Y585" s="14"/>
      <c r="Z585" s="16"/>
      <c r="AA585" s="14"/>
      <c r="AB585" s="14"/>
      <c r="AC585" s="14"/>
      <c r="AD585" s="14"/>
      <c r="AE585" s="14"/>
      <c r="AF585" s="14"/>
      <c r="AG585" s="14"/>
      <c r="AH585" s="14"/>
    </row>
    <row r="586">
      <c r="M586" s="59"/>
      <c r="O586" s="60"/>
      <c r="Q586" s="13"/>
      <c r="R586" s="14"/>
      <c r="S586" s="14"/>
      <c r="T586" s="14"/>
      <c r="U586" s="14"/>
      <c r="V586" s="14"/>
      <c r="W586" s="14"/>
      <c r="X586" s="15"/>
      <c r="Y586" s="14"/>
      <c r="Z586" s="16"/>
      <c r="AA586" s="14"/>
      <c r="AB586" s="14"/>
      <c r="AC586" s="14"/>
      <c r="AD586" s="14"/>
      <c r="AE586" s="14"/>
      <c r="AF586" s="14"/>
      <c r="AG586" s="14"/>
      <c r="AH586" s="14"/>
    </row>
    <row r="587">
      <c r="M587" s="59"/>
      <c r="O587" s="60"/>
      <c r="Q587" s="13"/>
      <c r="R587" s="14"/>
      <c r="S587" s="14"/>
      <c r="T587" s="14"/>
      <c r="U587" s="14"/>
      <c r="V587" s="14"/>
      <c r="W587" s="14"/>
      <c r="X587" s="15"/>
      <c r="Y587" s="14"/>
      <c r="Z587" s="16"/>
      <c r="AA587" s="14"/>
      <c r="AB587" s="14"/>
      <c r="AC587" s="14"/>
      <c r="AD587" s="14"/>
      <c r="AE587" s="14"/>
      <c r="AF587" s="14"/>
      <c r="AG587" s="14"/>
      <c r="AH587" s="14"/>
    </row>
    <row r="588">
      <c r="M588" s="59"/>
      <c r="O588" s="60"/>
      <c r="Q588" s="13"/>
      <c r="R588" s="14"/>
      <c r="S588" s="14"/>
      <c r="T588" s="14"/>
      <c r="U588" s="14"/>
      <c r="V588" s="14"/>
      <c r="W588" s="14"/>
      <c r="X588" s="15"/>
      <c r="Y588" s="14"/>
      <c r="Z588" s="16"/>
      <c r="AA588" s="14"/>
      <c r="AB588" s="14"/>
      <c r="AC588" s="14"/>
      <c r="AD588" s="14"/>
      <c r="AE588" s="14"/>
      <c r="AF588" s="14"/>
      <c r="AG588" s="14"/>
      <c r="AH588" s="14"/>
    </row>
    <row r="589">
      <c r="M589" s="59"/>
      <c r="O589" s="60"/>
      <c r="Q589" s="13"/>
      <c r="R589" s="14"/>
      <c r="S589" s="14"/>
      <c r="T589" s="14"/>
      <c r="U589" s="14"/>
      <c r="V589" s="14"/>
      <c r="W589" s="14"/>
      <c r="X589" s="15"/>
      <c r="Y589" s="14"/>
      <c r="Z589" s="16"/>
      <c r="AA589" s="14"/>
      <c r="AB589" s="14"/>
      <c r="AC589" s="14"/>
      <c r="AD589" s="14"/>
      <c r="AE589" s="14"/>
      <c r="AF589" s="14"/>
      <c r="AG589" s="14"/>
      <c r="AH589" s="14"/>
    </row>
    <row r="590">
      <c r="M590" s="59"/>
      <c r="O590" s="60"/>
      <c r="Q590" s="13"/>
      <c r="R590" s="14"/>
      <c r="S590" s="14"/>
      <c r="T590" s="14"/>
      <c r="U590" s="14"/>
      <c r="V590" s="14"/>
      <c r="W590" s="14"/>
      <c r="X590" s="15"/>
      <c r="Y590" s="14"/>
      <c r="Z590" s="16"/>
      <c r="AA590" s="14"/>
      <c r="AB590" s="14"/>
      <c r="AC590" s="14"/>
      <c r="AD590" s="14"/>
      <c r="AE590" s="14"/>
      <c r="AF590" s="14"/>
      <c r="AG590" s="14"/>
      <c r="AH590" s="14"/>
    </row>
    <row r="591">
      <c r="M591" s="59"/>
      <c r="O591" s="60"/>
      <c r="Q591" s="13"/>
      <c r="R591" s="14"/>
      <c r="S591" s="14"/>
      <c r="T591" s="14"/>
      <c r="U591" s="14"/>
      <c r="V591" s="14"/>
      <c r="W591" s="14"/>
      <c r="X591" s="15"/>
      <c r="Y591" s="14"/>
      <c r="Z591" s="16"/>
      <c r="AA591" s="14"/>
      <c r="AB591" s="14"/>
      <c r="AC591" s="14"/>
      <c r="AD591" s="14"/>
      <c r="AE591" s="14"/>
      <c r="AF591" s="14"/>
      <c r="AG591" s="14"/>
      <c r="AH591" s="14"/>
    </row>
    <row r="592">
      <c r="M592" s="59"/>
      <c r="O592" s="60"/>
      <c r="Q592" s="13"/>
      <c r="R592" s="14"/>
      <c r="S592" s="14"/>
      <c r="T592" s="14"/>
      <c r="U592" s="14"/>
      <c r="V592" s="14"/>
      <c r="W592" s="14"/>
      <c r="X592" s="15"/>
      <c r="Y592" s="14"/>
      <c r="Z592" s="16"/>
      <c r="AA592" s="14"/>
      <c r="AB592" s="14"/>
      <c r="AC592" s="14"/>
      <c r="AD592" s="14"/>
      <c r="AE592" s="14"/>
      <c r="AF592" s="14"/>
      <c r="AG592" s="14"/>
      <c r="AH592" s="14"/>
    </row>
    <row r="593">
      <c r="M593" s="59"/>
      <c r="O593" s="60"/>
      <c r="Q593" s="13"/>
      <c r="R593" s="14"/>
      <c r="S593" s="14"/>
      <c r="T593" s="14"/>
      <c r="U593" s="14"/>
      <c r="V593" s="14"/>
      <c r="W593" s="14"/>
      <c r="X593" s="15"/>
      <c r="Y593" s="14"/>
      <c r="Z593" s="16"/>
      <c r="AA593" s="14"/>
      <c r="AB593" s="14"/>
      <c r="AC593" s="14"/>
      <c r="AD593" s="14"/>
      <c r="AE593" s="14"/>
      <c r="AF593" s="14"/>
      <c r="AG593" s="14"/>
      <c r="AH593" s="14"/>
    </row>
    <row r="594">
      <c r="M594" s="59"/>
      <c r="O594" s="60"/>
      <c r="Q594" s="13"/>
      <c r="R594" s="14"/>
      <c r="S594" s="14"/>
      <c r="T594" s="14"/>
      <c r="U594" s="14"/>
      <c r="V594" s="14"/>
      <c r="W594" s="14"/>
      <c r="X594" s="15"/>
      <c r="Y594" s="14"/>
      <c r="Z594" s="16"/>
      <c r="AA594" s="14"/>
      <c r="AB594" s="14"/>
      <c r="AC594" s="14"/>
      <c r="AD594" s="14"/>
      <c r="AE594" s="14"/>
      <c r="AF594" s="14"/>
      <c r="AG594" s="14"/>
      <c r="AH594" s="14"/>
    </row>
    <row r="595">
      <c r="M595" s="59"/>
      <c r="O595" s="60"/>
      <c r="Q595" s="13"/>
      <c r="R595" s="14"/>
      <c r="S595" s="14"/>
      <c r="T595" s="14"/>
      <c r="U595" s="14"/>
      <c r="V595" s="14"/>
      <c r="W595" s="14"/>
      <c r="X595" s="15"/>
      <c r="Y595" s="14"/>
      <c r="Z595" s="16"/>
      <c r="AA595" s="14"/>
      <c r="AB595" s="14"/>
      <c r="AC595" s="14"/>
      <c r="AD595" s="14"/>
      <c r="AE595" s="14"/>
      <c r="AF595" s="14"/>
      <c r="AG595" s="14"/>
      <c r="AH595" s="14"/>
    </row>
    <row r="596">
      <c r="M596" s="59"/>
      <c r="O596" s="60"/>
      <c r="Q596" s="13"/>
      <c r="R596" s="14"/>
      <c r="S596" s="14"/>
      <c r="T596" s="14"/>
      <c r="U596" s="14"/>
      <c r="V596" s="14"/>
      <c r="W596" s="14"/>
      <c r="X596" s="15"/>
      <c r="Y596" s="14"/>
      <c r="Z596" s="16"/>
      <c r="AA596" s="14"/>
      <c r="AB596" s="14"/>
      <c r="AC596" s="14"/>
      <c r="AD596" s="14"/>
      <c r="AE596" s="14"/>
      <c r="AF596" s="14"/>
      <c r="AG596" s="14"/>
      <c r="AH596" s="14"/>
    </row>
    <row r="597">
      <c r="M597" s="59"/>
      <c r="O597" s="60"/>
      <c r="Q597" s="13"/>
      <c r="R597" s="14"/>
      <c r="S597" s="14"/>
      <c r="T597" s="14"/>
      <c r="U597" s="14"/>
      <c r="V597" s="14"/>
      <c r="W597" s="14"/>
      <c r="X597" s="15"/>
      <c r="Y597" s="14"/>
      <c r="Z597" s="16"/>
      <c r="AA597" s="14"/>
      <c r="AB597" s="14"/>
      <c r="AC597" s="14"/>
      <c r="AD597" s="14"/>
      <c r="AE597" s="14"/>
      <c r="AF597" s="14"/>
      <c r="AG597" s="14"/>
      <c r="AH597" s="14"/>
    </row>
    <row r="598">
      <c r="M598" s="59"/>
      <c r="O598" s="60"/>
      <c r="Q598" s="13"/>
      <c r="R598" s="14"/>
      <c r="S598" s="14"/>
      <c r="T598" s="14"/>
      <c r="U598" s="14"/>
      <c r="V598" s="14"/>
      <c r="W598" s="14"/>
      <c r="X598" s="15"/>
      <c r="Y598" s="14"/>
      <c r="Z598" s="16"/>
      <c r="AA598" s="14"/>
      <c r="AB598" s="14"/>
      <c r="AC598" s="14"/>
      <c r="AD598" s="14"/>
      <c r="AE598" s="14"/>
      <c r="AF598" s="14"/>
      <c r="AG598" s="14"/>
      <c r="AH598" s="14"/>
    </row>
    <row r="599">
      <c r="M599" s="59"/>
      <c r="O599" s="60"/>
      <c r="Q599" s="13"/>
      <c r="R599" s="14"/>
      <c r="S599" s="14"/>
      <c r="T599" s="14"/>
      <c r="U599" s="14"/>
      <c r="V599" s="14"/>
      <c r="W599" s="14"/>
      <c r="X599" s="15"/>
      <c r="Y599" s="14"/>
      <c r="Z599" s="16"/>
      <c r="AA599" s="14"/>
      <c r="AB599" s="14"/>
      <c r="AC599" s="14"/>
      <c r="AD599" s="14"/>
      <c r="AE599" s="14"/>
      <c r="AF599" s="14"/>
      <c r="AG599" s="14"/>
      <c r="AH599" s="14"/>
    </row>
    <row r="600">
      <c r="M600" s="59"/>
      <c r="O600" s="60"/>
      <c r="Q600" s="13"/>
      <c r="R600" s="14"/>
      <c r="S600" s="14"/>
      <c r="T600" s="14"/>
      <c r="U600" s="14"/>
      <c r="V600" s="14"/>
      <c r="W600" s="14"/>
      <c r="X600" s="15"/>
      <c r="Y600" s="14"/>
      <c r="Z600" s="16"/>
      <c r="AA600" s="14"/>
      <c r="AB600" s="14"/>
      <c r="AC600" s="14"/>
      <c r="AD600" s="14"/>
      <c r="AE600" s="14"/>
      <c r="AF600" s="14"/>
      <c r="AG600" s="14"/>
      <c r="AH600" s="14"/>
    </row>
    <row r="601">
      <c r="M601" s="59"/>
      <c r="O601" s="60"/>
      <c r="Q601" s="13"/>
      <c r="R601" s="14"/>
      <c r="S601" s="14"/>
      <c r="T601" s="14"/>
      <c r="U601" s="14"/>
      <c r="V601" s="14"/>
      <c r="W601" s="14"/>
      <c r="X601" s="15"/>
      <c r="Y601" s="14"/>
      <c r="Z601" s="16"/>
      <c r="AA601" s="14"/>
      <c r="AB601" s="14"/>
      <c r="AC601" s="14"/>
      <c r="AD601" s="14"/>
      <c r="AE601" s="14"/>
      <c r="AF601" s="14"/>
      <c r="AG601" s="14"/>
      <c r="AH601" s="14"/>
    </row>
    <row r="602">
      <c r="M602" s="59"/>
      <c r="O602" s="60"/>
      <c r="Q602" s="13"/>
      <c r="R602" s="14"/>
      <c r="S602" s="14"/>
      <c r="T602" s="14"/>
      <c r="U602" s="14"/>
      <c r="V602" s="14"/>
      <c r="W602" s="14"/>
      <c r="X602" s="15"/>
      <c r="Y602" s="14"/>
      <c r="Z602" s="16"/>
      <c r="AA602" s="14"/>
      <c r="AB602" s="14"/>
      <c r="AC602" s="14"/>
      <c r="AD602" s="14"/>
      <c r="AE602" s="14"/>
      <c r="AF602" s="14"/>
      <c r="AG602" s="14"/>
      <c r="AH602" s="14"/>
    </row>
    <row r="603">
      <c r="M603" s="59"/>
      <c r="O603" s="60"/>
      <c r="Q603" s="13"/>
      <c r="R603" s="14"/>
      <c r="S603" s="14"/>
      <c r="T603" s="14"/>
      <c r="U603" s="14"/>
      <c r="V603" s="14"/>
      <c r="W603" s="14"/>
      <c r="X603" s="15"/>
      <c r="Y603" s="14"/>
      <c r="Z603" s="16"/>
      <c r="AA603" s="14"/>
      <c r="AB603" s="14"/>
      <c r="AC603" s="14"/>
      <c r="AD603" s="14"/>
      <c r="AE603" s="14"/>
      <c r="AF603" s="14"/>
      <c r="AG603" s="14"/>
      <c r="AH603" s="14"/>
    </row>
    <row r="604">
      <c r="M604" s="59"/>
      <c r="O604" s="60"/>
      <c r="Q604" s="13"/>
      <c r="R604" s="14"/>
      <c r="S604" s="14"/>
      <c r="T604" s="14"/>
      <c r="U604" s="14"/>
      <c r="V604" s="14"/>
      <c r="W604" s="14"/>
      <c r="X604" s="15"/>
      <c r="Y604" s="14"/>
      <c r="Z604" s="16"/>
      <c r="AA604" s="14"/>
      <c r="AB604" s="14"/>
      <c r="AC604" s="14"/>
      <c r="AD604" s="14"/>
      <c r="AE604" s="14"/>
      <c r="AF604" s="14"/>
      <c r="AG604" s="14"/>
      <c r="AH604" s="14"/>
    </row>
    <row r="605">
      <c r="M605" s="59"/>
      <c r="O605" s="60"/>
      <c r="Q605" s="13"/>
      <c r="R605" s="14"/>
      <c r="S605" s="14"/>
      <c r="T605" s="14"/>
      <c r="U605" s="14"/>
      <c r="V605" s="14"/>
      <c r="W605" s="14"/>
      <c r="X605" s="15"/>
      <c r="Y605" s="14"/>
      <c r="Z605" s="16"/>
      <c r="AA605" s="14"/>
      <c r="AB605" s="14"/>
      <c r="AC605" s="14"/>
      <c r="AD605" s="14"/>
      <c r="AE605" s="14"/>
      <c r="AF605" s="14"/>
      <c r="AG605" s="14"/>
      <c r="AH605" s="14"/>
    </row>
    <row r="606">
      <c r="M606" s="59"/>
      <c r="O606" s="60"/>
      <c r="Q606" s="13"/>
      <c r="R606" s="14"/>
      <c r="S606" s="14"/>
      <c r="T606" s="14"/>
      <c r="U606" s="14"/>
      <c r="V606" s="14"/>
      <c r="W606" s="14"/>
      <c r="X606" s="15"/>
      <c r="Y606" s="14"/>
      <c r="Z606" s="16"/>
      <c r="AA606" s="14"/>
      <c r="AB606" s="14"/>
      <c r="AC606" s="14"/>
      <c r="AD606" s="14"/>
      <c r="AE606" s="14"/>
      <c r="AF606" s="14"/>
      <c r="AG606" s="14"/>
      <c r="AH606" s="14"/>
    </row>
    <row r="607">
      <c r="M607" s="59"/>
      <c r="O607" s="60"/>
      <c r="Q607" s="13"/>
      <c r="R607" s="14"/>
      <c r="S607" s="14"/>
      <c r="T607" s="14"/>
      <c r="U607" s="14"/>
      <c r="V607" s="14"/>
      <c r="W607" s="14"/>
      <c r="X607" s="15"/>
      <c r="Y607" s="14"/>
      <c r="Z607" s="16"/>
      <c r="AA607" s="14"/>
      <c r="AB607" s="14"/>
      <c r="AC607" s="14"/>
      <c r="AD607" s="14"/>
      <c r="AE607" s="14"/>
      <c r="AF607" s="14"/>
      <c r="AG607" s="14"/>
      <c r="AH607" s="14"/>
    </row>
    <row r="608">
      <c r="M608" s="59"/>
      <c r="O608" s="60"/>
      <c r="Q608" s="13"/>
      <c r="R608" s="14"/>
      <c r="S608" s="14"/>
      <c r="T608" s="14"/>
      <c r="U608" s="14"/>
      <c r="V608" s="14"/>
      <c r="W608" s="14"/>
      <c r="X608" s="15"/>
      <c r="Y608" s="14"/>
      <c r="Z608" s="16"/>
      <c r="AA608" s="14"/>
      <c r="AB608" s="14"/>
      <c r="AC608" s="14"/>
      <c r="AD608" s="14"/>
      <c r="AE608" s="14"/>
      <c r="AF608" s="14"/>
      <c r="AG608" s="14"/>
      <c r="AH608" s="14"/>
    </row>
    <row r="609">
      <c r="M609" s="59"/>
      <c r="O609" s="60"/>
      <c r="Q609" s="13"/>
      <c r="R609" s="14"/>
      <c r="S609" s="14"/>
      <c r="T609" s="14"/>
      <c r="U609" s="14"/>
      <c r="V609" s="14"/>
      <c r="W609" s="14"/>
      <c r="X609" s="15"/>
      <c r="Y609" s="14"/>
      <c r="Z609" s="16"/>
      <c r="AA609" s="14"/>
      <c r="AB609" s="14"/>
      <c r="AC609" s="14"/>
      <c r="AD609" s="14"/>
      <c r="AE609" s="14"/>
      <c r="AF609" s="14"/>
      <c r="AG609" s="14"/>
      <c r="AH609" s="14"/>
    </row>
    <row r="610">
      <c r="M610" s="59"/>
      <c r="O610" s="60"/>
      <c r="Q610" s="13"/>
      <c r="R610" s="14"/>
      <c r="S610" s="14"/>
      <c r="T610" s="14"/>
      <c r="U610" s="14"/>
      <c r="V610" s="14"/>
      <c r="W610" s="14"/>
      <c r="X610" s="15"/>
      <c r="Y610" s="14"/>
      <c r="Z610" s="16"/>
      <c r="AA610" s="14"/>
      <c r="AB610" s="14"/>
      <c r="AC610" s="14"/>
      <c r="AD610" s="14"/>
      <c r="AE610" s="14"/>
      <c r="AF610" s="14"/>
      <c r="AG610" s="14"/>
      <c r="AH610" s="14"/>
    </row>
    <row r="611">
      <c r="M611" s="59"/>
      <c r="O611" s="60"/>
      <c r="Q611" s="13"/>
      <c r="R611" s="14"/>
      <c r="S611" s="14"/>
      <c r="T611" s="14"/>
      <c r="U611" s="14"/>
      <c r="V611" s="14"/>
      <c r="W611" s="14"/>
      <c r="X611" s="15"/>
      <c r="Y611" s="14"/>
      <c r="Z611" s="16"/>
      <c r="AA611" s="14"/>
      <c r="AB611" s="14"/>
      <c r="AC611" s="14"/>
      <c r="AD611" s="14"/>
      <c r="AE611" s="14"/>
      <c r="AF611" s="14"/>
      <c r="AG611" s="14"/>
      <c r="AH611" s="14"/>
    </row>
    <row r="612">
      <c r="M612" s="59"/>
      <c r="O612" s="60"/>
      <c r="Q612" s="13"/>
      <c r="R612" s="14"/>
      <c r="S612" s="14"/>
      <c r="T612" s="14"/>
      <c r="U612" s="14"/>
      <c r="V612" s="14"/>
      <c r="W612" s="14"/>
      <c r="X612" s="15"/>
      <c r="Y612" s="14"/>
      <c r="Z612" s="16"/>
      <c r="AA612" s="14"/>
      <c r="AB612" s="14"/>
      <c r="AC612" s="14"/>
      <c r="AD612" s="14"/>
      <c r="AE612" s="14"/>
      <c r="AF612" s="14"/>
      <c r="AG612" s="14"/>
      <c r="AH612" s="14"/>
    </row>
    <row r="613">
      <c r="M613" s="59"/>
      <c r="O613" s="60"/>
      <c r="Q613" s="13"/>
      <c r="R613" s="14"/>
      <c r="S613" s="14"/>
      <c r="T613" s="14"/>
      <c r="U613" s="14"/>
      <c r="V613" s="14"/>
      <c r="W613" s="14"/>
      <c r="X613" s="15"/>
      <c r="Y613" s="14"/>
      <c r="Z613" s="16"/>
      <c r="AA613" s="14"/>
      <c r="AB613" s="14"/>
      <c r="AC613" s="14"/>
      <c r="AD613" s="14"/>
      <c r="AE613" s="14"/>
      <c r="AF613" s="14"/>
      <c r="AG613" s="14"/>
      <c r="AH613" s="14"/>
    </row>
    <row r="614">
      <c r="M614" s="59"/>
      <c r="O614" s="60"/>
      <c r="Q614" s="13"/>
      <c r="R614" s="14"/>
      <c r="S614" s="14"/>
      <c r="T614" s="14"/>
      <c r="U614" s="14"/>
      <c r="V614" s="14"/>
      <c r="W614" s="14"/>
      <c r="X614" s="15"/>
      <c r="Y614" s="14"/>
      <c r="Z614" s="16"/>
      <c r="AA614" s="14"/>
      <c r="AB614" s="14"/>
      <c r="AC614" s="14"/>
      <c r="AD614" s="14"/>
      <c r="AE614" s="14"/>
      <c r="AF614" s="14"/>
      <c r="AG614" s="14"/>
      <c r="AH614" s="14"/>
    </row>
    <row r="615">
      <c r="M615" s="59"/>
      <c r="O615" s="60"/>
      <c r="Q615" s="13"/>
      <c r="R615" s="14"/>
      <c r="S615" s="14"/>
      <c r="T615" s="14"/>
      <c r="U615" s="14"/>
      <c r="V615" s="14"/>
      <c r="W615" s="14"/>
      <c r="X615" s="15"/>
      <c r="Y615" s="14"/>
      <c r="Z615" s="16"/>
      <c r="AA615" s="14"/>
      <c r="AB615" s="14"/>
      <c r="AC615" s="14"/>
      <c r="AD615" s="14"/>
      <c r="AE615" s="14"/>
      <c r="AF615" s="14"/>
      <c r="AG615" s="14"/>
      <c r="AH615" s="14"/>
    </row>
    <row r="616">
      <c r="M616" s="59"/>
      <c r="O616" s="60"/>
      <c r="Q616" s="13"/>
      <c r="R616" s="14"/>
      <c r="S616" s="14"/>
      <c r="T616" s="14"/>
      <c r="U616" s="14"/>
      <c r="V616" s="14"/>
      <c r="W616" s="14"/>
      <c r="X616" s="15"/>
      <c r="Y616" s="14"/>
      <c r="Z616" s="16"/>
      <c r="AA616" s="14"/>
      <c r="AB616" s="14"/>
      <c r="AC616" s="14"/>
      <c r="AD616" s="14"/>
      <c r="AE616" s="14"/>
      <c r="AF616" s="14"/>
      <c r="AG616" s="14"/>
      <c r="AH616" s="14"/>
    </row>
    <row r="617">
      <c r="M617" s="59"/>
      <c r="O617" s="60"/>
      <c r="Q617" s="13"/>
      <c r="R617" s="14"/>
      <c r="S617" s="14"/>
      <c r="T617" s="14"/>
      <c r="U617" s="14"/>
      <c r="V617" s="14"/>
      <c r="W617" s="14"/>
      <c r="X617" s="15"/>
      <c r="Y617" s="14"/>
      <c r="Z617" s="16"/>
      <c r="AA617" s="14"/>
      <c r="AB617" s="14"/>
      <c r="AC617" s="14"/>
      <c r="AD617" s="14"/>
      <c r="AE617" s="14"/>
      <c r="AF617" s="14"/>
      <c r="AG617" s="14"/>
      <c r="AH617" s="14"/>
    </row>
    <row r="618">
      <c r="M618" s="59"/>
      <c r="O618" s="60"/>
      <c r="Q618" s="13"/>
      <c r="R618" s="14"/>
      <c r="S618" s="14"/>
      <c r="T618" s="14"/>
      <c r="U618" s="14"/>
      <c r="V618" s="14"/>
      <c r="W618" s="14"/>
      <c r="X618" s="15"/>
      <c r="Y618" s="14"/>
      <c r="Z618" s="16"/>
      <c r="AA618" s="14"/>
      <c r="AB618" s="14"/>
      <c r="AC618" s="14"/>
      <c r="AD618" s="14"/>
      <c r="AE618" s="14"/>
      <c r="AF618" s="14"/>
      <c r="AG618" s="14"/>
      <c r="AH618" s="14"/>
    </row>
    <row r="619">
      <c r="M619" s="59"/>
      <c r="O619" s="60"/>
      <c r="Q619" s="13"/>
      <c r="R619" s="14"/>
      <c r="S619" s="14"/>
      <c r="T619" s="14"/>
      <c r="U619" s="14"/>
      <c r="V619" s="14"/>
      <c r="W619" s="14"/>
      <c r="X619" s="15"/>
      <c r="Y619" s="14"/>
      <c r="Z619" s="16"/>
      <c r="AA619" s="14"/>
      <c r="AB619" s="14"/>
      <c r="AC619" s="14"/>
      <c r="AD619" s="14"/>
      <c r="AE619" s="14"/>
      <c r="AF619" s="14"/>
      <c r="AG619" s="14"/>
      <c r="AH619" s="14"/>
    </row>
    <row r="620">
      <c r="M620" s="59"/>
      <c r="O620" s="60"/>
      <c r="Q620" s="13"/>
      <c r="R620" s="14"/>
      <c r="S620" s="14"/>
      <c r="T620" s="14"/>
      <c r="U620" s="14"/>
      <c r="V620" s="14"/>
      <c r="W620" s="14"/>
      <c r="X620" s="15"/>
      <c r="Y620" s="14"/>
      <c r="Z620" s="16"/>
      <c r="AA620" s="14"/>
      <c r="AB620" s="14"/>
      <c r="AC620" s="14"/>
      <c r="AD620" s="14"/>
      <c r="AE620" s="14"/>
      <c r="AF620" s="14"/>
      <c r="AG620" s="14"/>
      <c r="AH620" s="14"/>
    </row>
    <row r="621">
      <c r="M621" s="59"/>
      <c r="O621" s="60"/>
      <c r="Q621" s="13"/>
      <c r="R621" s="14"/>
      <c r="S621" s="14"/>
      <c r="T621" s="14"/>
      <c r="U621" s="14"/>
      <c r="V621" s="14"/>
      <c r="W621" s="14"/>
      <c r="X621" s="15"/>
      <c r="Y621" s="14"/>
      <c r="Z621" s="16"/>
      <c r="AA621" s="14"/>
      <c r="AB621" s="14"/>
      <c r="AC621" s="14"/>
      <c r="AD621" s="14"/>
      <c r="AE621" s="14"/>
      <c r="AF621" s="14"/>
      <c r="AG621" s="14"/>
      <c r="AH621" s="14"/>
    </row>
    <row r="622">
      <c r="M622" s="59"/>
      <c r="O622" s="60"/>
      <c r="Q622" s="13"/>
      <c r="R622" s="14"/>
      <c r="S622" s="14"/>
      <c r="T622" s="14"/>
      <c r="U622" s="14"/>
      <c r="V622" s="14"/>
      <c r="W622" s="14"/>
      <c r="X622" s="15"/>
      <c r="Y622" s="14"/>
      <c r="Z622" s="16"/>
      <c r="AA622" s="14"/>
      <c r="AB622" s="14"/>
      <c r="AC622" s="14"/>
      <c r="AD622" s="14"/>
      <c r="AE622" s="14"/>
      <c r="AF622" s="14"/>
      <c r="AG622" s="14"/>
      <c r="AH622" s="14"/>
    </row>
    <row r="623">
      <c r="M623" s="59"/>
      <c r="O623" s="60"/>
      <c r="Q623" s="13"/>
      <c r="R623" s="14"/>
      <c r="S623" s="14"/>
      <c r="T623" s="14"/>
      <c r="U623" s="14"/>
      <c r="V623" s="14"/>
      <c r="W623" s="14"/>
      <c r="X623" s="15"/>
      <c r="Y623" s="14"/>
      <c r="Z623" s="16"/>
      <c r="AA623" s="14"/>
      <c r="AB623" s="14"/>
      <c r="AC623" s="14"/>
      <c r="AD623" s="14"/>
      <c r="AE623" s="14"/>
      <c r="AF623" s="14"/>
      <c r="AG623" s="14"/>
      <c r="AH623" s="14"/>
    </row>
    <row r="624">
      <c r="M624" s="59"/>
      <c r="O624" s="60"/>
      <c r="Q624" s="13"/>
      <c r="R624" s="14"/>
      <c r="S624" s="14"/>
      <c r="T624" s="14"/>
      <c r="U624" s="14"/>
      <c r="V624" s="14"/>
      <c r="W624" s="14"/>
      <c r="X624" s="15"/>
      <c r="Y624" s="14"/>
      <c r="Z624" s="16"/>
      <c r="AA624" s="14"/>
      <c r="AB624" s="14"/>
      <c r="AC624" s="14"/>
      <c r="AD624" s="14"/>
      <c r="AE624" s="14"/>
      <c r="AF624" s="14"/>
      <c r="AG624" s="14"/>
      <c r="AH624" s="14"/>
    </row>
    <row r="625">
      <c r="M625" s="59"/>
      <c r="O625" s="60"/>
      <c r="Q625" s="13"/>
      <c r="R625" s="14"/>
      <c r="S625" s="14"/>
      <c r="T625" s="14"/>
      <c r="U625" s="14"/>
      <c r="V625" s="14"/>
      <c r="W625" s="14"/>
      <c r="X625" s="15"/>
      <c r="Y625" s="14"/>
      <c r="Z625" s="16"/>
      <c r="AA625" s="14"/>
      <c r="AB625" s="14"/>
      <c r="AC625" s="14"/>
      <c r="AD625" s="14"/>
      <c r="AE625" s="14"/>
      <c r="AF625" s="14"/>
      <c r="AG625" s="14"/>
      <c r="AH625" s="14"/>
    </row>
    <row r="626">
      <c r="M626" s="59"/>
      <c r="O626" s="60"/>
      <c r="Q626" s="13"/>
      <c r="R626" s="14"/>
      <c r="S626" s="14"/>
      <c r="T626" s="14"/>
      <c r="U626" s="14"/>
      <c r="V626" s="14"/>
      <c r="W626" s="14"/>
      <c r="X626" s="15"/>
      <c r="Y626" s="14"/>
      <c r="Z626" s="16"/>
      <c r="AA626" s="14"/>
      <c r="AB626" s="14"/>
      <c r="AC626" s="14"/>
      <c r="AD626" s="14"/>
      <c r="AE626" s="14"/>
      <c r="AF626" s="14"/>
      <c r="AG626" s="14"/>
      <c r="AH626" s="14"/>
    </row>
    <row r="627">
      <c r="M627" s="59"/>
      <c r="O627" s="60"/>
      <c r="Q627" s="13"/>
      <c r="R627" s="14"/>
      <c r="S627" s="14"/>
      <c r="T627" s="14"/>
      <c r="U627" s="14"/>
      <c r="V627" s="14"/>
      <c r="W627" s="14"/>
      <c r="X627" s="15"/>
      <c r="Y627" s="14"/>
      <c r="Z627" s="16"/>
      <c r="AA627" s="14"/>
      <c r="AB627" s="14"/>
      <c r="AC627" s="14"/>
      <c r="AD627" s="14"/>
      <c r="AE627" s="14"/>
      <c r="AF627" s="14"/>
      <c r="AG627" s="14"/>
      <c r="AH627" s="14"/>
    </row>
    <row r="628">
      <c r="M628" s="59"/>
      <c r="O628" s="60"/>
      <c r="Q628" s="13"/>
      <c r="R628" s="14"/>
      <c r="S628" s="14"/>
      <c r="T628" s="14"/>
      <c r="U628" s="14"/>
      <c r="V628" s="14"/>
      <c r="W628" s="14"/>
      <c r="X628" s="15"/>
      <c r="Y628" s="14"/>
      <c r="Z628" s="16"/>
      <c r="AA628" s="14"/>
      <c r="AB628" s="14"/>
      <c r="AC628" s="14"/>
      <c r="AD628" s="14"/>
      <c r="AE628" s="14"/>
      <c r="AF628" s="14"/>
      <c r="AG628" s="14"/>
      <c r="AH628" s="14"/>
    </row>
    <row r="629">
      <c r="M629" s="59"/>
      <c r="O629" s="60"/>
      <c r="Q629" s="13"/>
      <c r="R629" s="14"/>
      <c r="S629" s="14"/>
      <c r="T629" s="14"/>
      <c r="U629" s="14"/>
      <c r="V629" s="14"/>
      <c r="W629" s="14"/>
      <c r="X629" s="15"/>
      <c r="Y629" s="14"/>
      <c r="Z629" s="16"/>
      <c r="AA629" s="14"/>
      <c r="AB629" s="14"/>
      <c r="AC629" s="14"/>
      <c r="AD629" s="14"/>
      <c r="AE629" s="14"/>
      <c r="AF629" s="14"/>
      <c r="AG629" s="14"/>
      <c r="AH629" s="14"/>
    </row>
    <row r="630">
      <c r="M630" s="59"/>
      <c r="O630" s="60"/>
      <c r="Q630" s="13"/>
      <c r="R630" s="14"/>
      <c r="S630" s="14"/>
      <c r="T630" s="14"/>
      <c r="U630" s="14"/>
      <c r="V630" s="14"/>
      <c r="W630" s="14"/>
      <c r="X630" s="15"/>
      <c r="Y630" s="14"/>
      <c r="Z630" s="16"/>
      <c r="AA630" s="14"/>
      <c r="AB630" s="14"/>
      <c r="AC630" s="14"/>
      <c r="AD630" s="14"/>
      <c r="AE630" s="14"/>
      <c r="AF630" s="14"/>
      <c r="AG630" s="14"/>
      <c r="AH630" s="14"/>
    </row>
    <row r="631">
      <c r="M631" s="59"/>
      <c r="O631" s="60"/>
      <c r="Q631" s="13"/>
      <c r="R631" s="14"/>
      <c r="S631" s="14"/>
      <c r="T631" s="14"/>
      <c r="U631" s="14"/>
      <c r="V631" s="14"/>
      <c r="W631" s="14"/>
      <c r="X631" s="15"/>
      <c r="Y631" s="14"/>
      <c r="Z631" s="16"/>
      <c r="AA631" s="14"/>
      <c r="AB631" s="14"/>
      <c r="AC631" s="14"/>
      <c r="AD631" s="14"/>
      <c r="AE631" s="14"/>
      <c r="AF631" s="14"/>
      <c r="AG631" s="14"/>
      <c r="AH631" s="14"/>
    </row>
    <row r="632">
      <c r="M632" s="59"/>
      <c r="O632" s="60"/>
      <c r="Q632" s="13"/>
      <c r="R632" s="14"/>
      <c r="S632" s="14"/>
      <c r="T632" s="14"/>
      <c r="U632" s="14"/>
      <c r="V632" s="14"/>
      <c r="W632" s="14"/>
      <c r="X632" s="15"/>
      <c r="Y632" s="14"/>
      <c r="Z632" s="16"/>
      <c r="AA632" s="14"/>
      <c r="AB632" s="14"/>
      <c r="AC632" s="14"/>
      <c r="AD632" s="14"/>
      <c r="AE632" s="14"/>
      <c r="AF632" s="14"/>
      <c r="AG632" s="14"/>
      <c r="AH632" s="14"/>
    </row>
    <row r="633">
      <c r="M633" s="59"/>
      <c r="O633" s="60"/>
      <c r="Q633" s="13"/>
      <c r="R633" s="14"/>
      <c r="S633" s="14"/>
      <c r="T633" s="14"/>
      <c r="U633" s="14"/>
      <c r="V633" s="14"/>
      <c r="W633" s="14"/>
      <c r="X633" s="15"/>
      <c r="Y633" s="14"/>
      <c r="Z633" s="16"/>
      <c r="AA633" s="14"/>
      <c r="AB633" s="14"/>
      <c r="AC633" s="14"/>
      <c r="AD633" s="14"/>
      <c r="AE633" s="14"/>
      <c r="AF633" s="14"/>
      <c r="AG633" s="14"/>
      <c r="AH633" s="14"/>
    </row>
    <row r="634">
      <c r="M634" s="59"/>
      <c r="O634" s="60"/>
      <c r="Q634" s="13"/>
      <c r="R634" s="14"/>
      <c r="S634" s="14"/>
      <c r="T634" s="14"/>
      <c r="U634" s="14"/>
      <c r="V634" s="14"/>
      <c r="W634" s="14"/>
      <c r="X634" s="15"/>
      <c r="Y634" s="14"/>
      <c r="Z634" s="16"/>
      <c r="AA634" s="14"/>
      <c r="AB634" s="14"/>
      <c r="AC634" s="14"/>
      <c r="AD634" s="14"/>
      <c r="AE634" s="14"/>
      <c r="AF634" s="14"/>
      <c r="AG634" s="14"/>
      <c r="AH634" s="14"/>
    </row>
    <row r="635">
      <c r="M635" s="59"/>
      <c r="O635" s="60"/>
      <c r="Q635" s="13"/>
      <c r="R635" s="14"/>
      <c r="S635" s="14"/>
      <c r="T635" s="14"/>
      <c r="U635" s="14"/>
      <c r="V635" s="14"/>
      <c r="W635" s="14"/>
      <c r="X635" s="15"/>
      <c r="Y635" s="14"/>
      <c r="Z635" s="16"/>
      <c r="AA635" s="14"/>
      <c r="AB635" s="14"/>
      <c r="AC635" s="14"/>
      <c r="AD635" s="14"/>
      <c r="AE635" s="14"/>
      <c r="AF635" s="14"/>
      <c r="AG635" s="14"/>
      <c r="AH635" s="14"/>
    </row>
    <row r="636">
      <c r="M636" s="59"/>
      <c r="O636" s="60"/>
      <c r="Q636" s="13"/>
      <c r="R636" s="14"/>
      <c r="S636" s="14"/>
      <c r="T636" s="14"/>
      <c r="U636" s="14"/>
      <c r="V636" s="14"/>
      <c r="W636" s="14"/>
      <c r="X636" s="15"/>
      <c r="Y636" s="14"/>
      <c r="Z636" s="16"/>
      <c r="AA636" s="14"/>
      <c r="AB636" s="14"/>
      <c r="AC636" s="14"/>
      <c r="AD636" s="14"/>
      <c r="AE636" s="14"/>
      <c r="AF636" s="14"/>
      <c r="AG636" s="14"/>
      <c r="AH636" s="14"/>
    </row>
    <row r="637">
      <c r="M637" s="59"/>
      <c r="O637" s="60"/>
      <c r="Q637" s="13"/>
      <c r="R637" s="14"/>
      <c r="S637" s="14"/>
      <c r="T637" s="14"/>
      <c r="U637" s="14"/>
      <c r="V637" s="14"/>
      <c r="W637" s="14"/>
      <c r="X637" s="15"/>
      <c r="Y637" s="14"/>
      <c r="Z637" s="16"/>
      <c r="AA637" s="14"/>
      <c r="AB637" s="14"/>
      <c r="AC637" s="14"/>
      <c r="AD637" s="14"/>
      <c r="AE637" s="14"/>
      <c r="AF637" s="14"/>
      <c r="AG637" s="14"/>
      <c r="AH637" s="14"/>
    </row>
    <row r="638">
      <c r="M638" s="59"/>
      <c r="O638" s="60"/>
      <c r="Q638" s="13"/>
      <c r="R638" s="14"/>
      <c r="S638" s="14"/>
      <c r="T638" s="14"/>
      <c r="U638" s="14"/>
      <c r="V638" s="14"/>
      <c r="W638" s="14"/>
      <c r="X638" s="15"/>
      <c r="Y638" s="14"/>
      <c r="Z638" s="16"/>
      <c r="AA638" s="14"/>
      <c r="AB638" s="14"/>
      <c r="AC638" s="14"/>
      <c r="AD638" s="14"/>
      <c r="AE638" s="14"/>
      <c r="AF638" s="14"/>
      <c r="AG638" s="14"/>
      <c r="AH638" s="14"/>
    </row>
    <row r="639">
      <c r="M639" s="59"/>
      <c r="O639" s="60"/>
      <c r="Q639" s="13"/>
      <c r="R639" s="14"/>
      <c r="S639" s="14"/>
      <c r="T639" s="14"/>
      <c r="U639" s="14"/>
      <c r="V639" s="14"/>
      <c r="W639" s="14"/>
      <c r="X639" s="15"/>
      <c r="Y639" s="14"/>
      <c r="Z639" s="16"/>
      <c r="AA639" s="14"/>
      <c r="AB639" s="14"/>
      <c r="AC639" s="14"/>
      <c r="AD639" s="14"/>
      <c r="AE639" s="14"/>
      <c r="AF639" s="14"/>
      <c r="AG639" s="14"/>
      <c r="AH639" s="14"/>
    </row>
    <row r="640">
      <c r="M640" s="59"/>
      <c r="O640" s="60"/>
      <c r="Q640" s="13"/>
      <c r="R640" s="14"/>
      <c r="S640" s="14"/>
      <c r="T640" s="14"/>
      <c r="U640" s="14"/>
      <c r="V640" s="14"/>
      <c r="W640" s="14"/>
      <c r="X640" s="15"/>
      <c r="Y640" s="14"/>
      <c r="Z640" s="16"/>
      <c r="AA640" s="14"/>
      <c r="AB640" s="14"/>
      <c r="AC640" s="14"/>
      <c r="AD640" s="14"/>
      <c r="AE640" s="14"/>
      <c r="AF640" s="14"/>
      <c r="AG640" s="14"/>
      <c r="AH640" s="14"/>
    </row>
    <row r="641">
      <c r="M641" s="59"/>
      <c r="O641" s="60"/>
      <c r="Q641" s="13"/>
      <c r="R641" s="14"/>
      <c r="S641" s="14"/>
      <c r="T641" s="14"/>
      <c r="U641" s="14"/>
      <c r="V641" s="14"/>
      <c r="W641" s="14"/>
      <c r="X641" s="15"/>
      <c r="Y641" s="14"/>
      <c r="Z641" s="16"/>
      <c r="AA641" s="14"/>
      <c r="AB641" s="14"/>
      <c r="AC641" s="14"/>
      <c r="AD641" s="14"/>
      <c r="AE641" s="14"/>
      <c r="AF641" s="14"/>
      <c r="AG641" s="14"/>
      <c r="AH641" s="14"/>
    </row>
    <row r="642">
      <c r="M642" s="59"/>
      <c r="O642" s="60"/>
      <c r="Q642" s="13"/>
      <c r="R642" s="14"/>
      <c r="S642" s="14"/>
      <c r="T642" s="14"/>
      <c r="U642" s="14"/>
      <c r="V642" s="14"/>
      <c r="W642" s="14"/>
      <c r="X642" s="15"/>
      <c r="Y642" s="14"/>
      <c r="Z642" s="16"/>
      <c r="AA642" s="14"/>
      <c r="AB642" s="14"/>
      <c r="AC642" s="14"/>
      <c r="AD642" s="14"/>
      <c r="AE642" s="14"/>
      <c r="AF642" s="14"/>
      <c r="AG642" s="14"/>
      <c r="AH642" s="14"/>
    </row>
    <row r="643">
      <c r="M643" s="59"/>
      <c r="O643" s="60"/>
      <c r="Q643" s="13"/>
      <c r="R643" s="14"/>
      <c r="S643" s="14"/>
      <c r="T643" s="14"/>
      <c r="U643" s="14"/>
      <c r="V643" s="14"/>
      <c r="W643" s="14"/>
      <c r="X643" s="15"/>
      <c r="Y643" s="14"/>
      <c r="Z643" s="16"/>
      <c r="AA643" s="14"/>
      <c r="AB643" s="14"/>
      <c r="AC643" s="14"/>
      <c r="AD643" s="14"/>
      <c r="AE643" s="14"/>
      <c r="AF643" s="14"/>
      <c r="AG643" s="14"/>
      <c r="AH643" s="14"/>
    </row>
    <row r="644">
      <c r="M644" s="59"/>
      <c r="O644" s="60"/>
      <c r="Q644" s="13"/>
      <c r="R644" s="14"/>
      <c r="S644" s="14"/>
      <c r="T644" s="14"/>
      <c r="U644" s="14"/>
      <c r="V644" s="14"/>
      <c r="W644" s="14"/>
      <c r="X644" s="15"/>
      <c r="Y644" s="14"/>
      <c r="Z644" s="16"/>
      <c r="AA644" s="14"/>
      <c r="AB644" s="14"/>
      <c r="AC644" s="14"/>
      <c r="AD644" s="14"/>
      <c r="AE644" s="14"/>
      <c r="AF644" s="14"/>
      <c r="AG644" s="14"/>
      <c r="AH644" s="14"/>
    </row>
    <row r="645">
      <c r="M645" s="59"/>
      <c r="O645" s="60"/>
      <c r="Q645" s="13"/>
      <c r="R645" s="14"/>
      <c r="S645" s="14"/>
      <c r="T645" s="14"/>
      <c r="U645" s="14"/>
      <c r="V645" s="14"/>
      <c r="W645" s="14"/>
      <c r="X645" s="15"/>
      <c r="Y645" s="14"/>
      <c r="Z645" s="16"/>
      <c r="AA645" s="14"/>
      <c r="AB645" s="14"/>
      <c r="AC645" s="14"/>
      <c r="AD645" s="14"/>
      <c r="AE645" s="14"/>
      <c r="AF645" s="14"/>
      <c r="AG645" s="14"/>
      <c r="AH645" s="14"/>
    </row>
    <row r="646">
      <c r="M646" s="59"/>
      <c r="O646" s="60"/>
      <c r="Q646" s="13"/>
      <c r="R646" s="14"/>
      <c r="S646" s="14"/>
      <c r="T646" s="14"/>
      <c r="U646" s="14"/>
      <c r="V646" s="14"/>
      <c r="W646" s="14"/>
      <c r="X646" s="15"/>
      <c r="Y646" s="14"/>
      <c r="Z646" s="16"/>
      <c r="AA646" s="14"/>
      <c r="AB646" s="14"/>
      <c r="AC646" s="14"/>
      <c r="AD646" s="14"/>
      <c r="AE646" s="14"/>
      <c r="AF646" s="14"/>
      <c r="AG646" s="14"/>
      <c r="AH646" s="14"/>
    </row>
    <row r="647">
      <c r="M647" s="59"/>
      <c r="O647" s="60"/>
      <c r="Q647" s="13"/>
      <c r="R647" s="14"/>
      <c r="S647" s="14"/>
      <c r="T647" s="14"/>
      <c r="U647" s="14"/>
      <c r="V647" s="14"/>
      <c r="W647" s="14"/>
      <c r="X647" s="15"/>
      <c r="Y647" s="14"/>
      <c r="Z647" s="16"/>
      <c r="AA647" s="14"/>
      <c r="AB647" s="14"/>
      <c r="AC647" s="14"/>
      <c r="AD647" s="14"/>
      <c r="AE647" s="14"/>
      <c r="AF647" s="14"/>
      <c r="AG647" s="14"/>
      <c r="AH647" s="14"/>
    </row>
    <row r="648">
      <c r="M648" s="59"/>
      <c r="O648" s="60"/>
      <c r="Q648" s="13"/>
      <c r="R648" s="14"/>
      <c r="S648" s="14"/>
      <c r="T648" s="14"/>
      <c r="U648" s="14"/>
      <c r="V648" s="14"/>
      <c r="W648" s="14"/>
      <c r="X648" s="15"/>
      <c r="Y648" s="14"/>
      <c r="Z648" s="16"/>
      <c r="AA648" s="14"/>
      <c r="AB648" s="14"/>
      <c r="AC648" s="14"/>
      <c r="AD648" s="14"/>
      <c r="AE648" s="14"/>
      <c r="AF648" s="14"/>
      <c r="AG648" s="14"/>
      <c r="AH648" s="14"/>
    </row>
    <row r="649">
      <c r="M649" s="59"/>
      <c r="O649" s="60"/>
      <c r="Q649" s="13"/>
      <c r="R649" s="14"/>
      <c r="S649" s="14"/>
      <c r="T649" s="14"/>
      <c r="U649" s="14"/>
      <c r="V649" s="14"/>
      <c r="W649" s="14"/>
      <c r="X649" s="15"/>
      <c r="Y649" s="14"/>
      <c r="Z649" s="16"/>
      <c r="AA649" s="14"/>
      <c r="AB649" s="14"/>
      <c r="AC649" s="14"/>
      <c r="AD649" s="14"/>
      <c r="AE649" s="14"/>
      <c r="AF649" s="14"/>
      <c r="AG649" s="14"/>
      <c r="AH649" s="14"/>
    </row>
    <row r="650">
      <c r="M650" s="59"/>
      <c r="O650" s="60"/>
      <c r="Q650" s="13"/>
      <c r="R650" s="14"/>
      <c r="S650" s="14"/>
      <c r="T650" s="14"/>
      <c r="U650" s="14"/>
      <c r="V650" s="14"/>
      <c r="W650" s="14"/>
      <c r="X650" s="15"/>
      <c r="Y650" s="14"/>
      <c r="Z650" s="16"/>
      <c r="AA650" s="14"/>
      <c r="AB650" s="14"/>
      <c r="AC650" s="14"/>
      <c r="AD650" s="14"/>
      <c r="AE650" s="14"/>
      <c r="AF650" s="14"/>
      <c r="AG650" s="14"/>
      <c r="AH650" s="14"/>
    </row>
    <row r="651">
      <c r="M651" s="59"/>
      <c r="O651" s="60"/>
      <c r="Q651" s="13"/>
      <c r="R651" s="14"/>
      <c r="S651" s="14"/>
      <c r="T651" s="14"/>
      <c r="U651" s="14"/>
      <c r="V651" s="14"/>
      <c r="W651" s="14"/>
      <c r="X651" s="15"/>
      <c r="Y651" s="14"/>
      <c r="Z651" s="16"/>
      <c r="AA651" s="14"/>
      <c r="AB651" s="14"/>
      <c r="AC651" s="14"/>
      <c r="AD651" s="14"/>
      <c r="AE651" s="14"/>
      <c r="AF651" s="14"/>
      <c r="AG651" s="14"/>
      <c r="AH651" s="14"/>
    </row>
    <row r="652">
      <c r="M652" s="59"/>
      <c r="O652" s="60"/>
      <c r="Q652" s="13"/>
      <c r="R652" s="14"/>
      <c r="S652" s="14"/>
      <c r="T652" s="14"/>
      <c r="U652" s="14"/>
      <c r="V652" s="14"/>
      <c r="W652" s="14"/>
      <c r="X652" s="15"/>
      <c r="Y652" s="14"/>
      <c r="Z652" s="16"/>
      <c r="AA652" s="14"/>
      <c r="AB652" s="14"/>
      <c r="AC652" s="14"/>
      <c r="AD652" s="14"/>
      <c r="AE652" s="14"/>
      <c r="AF652" s="14"/>
      <c r="AG652" s="14"/>
      <c r="AH652" s="14"/>
    </row>
    <row r="653">
      <c r="M653" s="59"/>
      <c r="O653" s="60"/>
      <c r="Q653" s="13"/>
      <c r="R653" s="14"/>
      <c r="S653" s="14"/>
      <c r="T653" s="14"/>
      <c r="U653" s="14"/>
      <c r="V653" s="14"/>
      <c r="W653" s="14"/>
      <c r="X653" s="15"/>
      <c r="Y653" s="14"/>
      <c r="Z653" s="16"/>
      <c r="AA653" s="14"/>
      <c r="AB653" s="14"/>
      <c r="AC653" s="14"/>
      <c r="AD653" s="14"/>
      <c r="AE653" s="14"/>
      <c r="AF653" s="14"/>
      <c r="AG653" s="14"/>
      <c r="AH653" s="14"/>
    </row>
    <row r="654">
      <c r="M654" s="59"/>
      <c r="O654" s="60"/>
      <c r="Q654" s="13"/>
      <c r="R654" s="14"/>
      <c r="S654" s="14"/>
      <c r="T654" s="14"/>
      <c r="U654" s="14"/>
      <c r="V654" s="14"/>
      <c r="W654" s="14"/>
      <c r="X654" s="15"/>
      <c r="Y654" s="14"/>
      <c r="Z654" s="16"/>
      <c r="AA654" s="14"/>
      <c r="AB654" s="14"/>
      <c r="AC654" s="14"/>
      <c r="AD654" s="14"/>
      <c r="AE654" s="14"/>
      <c r="AF654" s="14"/>
      <c r="AG654" s="14"/>
      <c r="AH654" s="14"/>
    </row>
    <row r="655">
      <c r="M655" s="59"/>
      <c r="O655" s="60"/>
      <c r="Q655" s="13"/>
      <c r="R655" s="14"/>
      <c r="S655" s="14"/>
      <c r="T655" s="14"/>
      <c r="U655" s="14"/>
      <c r="V655" s="14"/>
      <c r="W655" s="14"/>
      <c r="X655" s="15"/>
      <c r="Y655" s="14"/>
      <c r="Z655" s="16"/>
      <c r="AA655" s="14"/>
      <c r="AB655" s="14"/>
      <c r="AC655" s="14"/>
      <c r="AD655" s="14"/>
      <c r="AE655" s="14"/>
      <c r="AF655" s="14"/>
      <c r="AG655" s="14"/>
      <c r="AH655" s="14"/>
    </row>
    <row r="656">
      <c r="M656" s="59"/>
      <c r="O656" s="60"/>
      <c r="Q656" s="13"/>
      <c r="R656" s="14"/>
      <c r="S656" s="14"/>
      <c r="T656" s="14"/>
      <c r="U656" s="14"/>
      <c r="V656" s="14"/>
      <c r="W656" s="14"/>
      <c r="X656" s="15"/>
      <c r="Y656" s="14"/>
      <c r="Z656" s="16"/>
      <c r="AA656" s="14"/>
      <c r="AB656" s="14"/>
      <c r="AC656" s="14"/>
      <c r="AD656" s="14"/>
      <c r="AE656" s="14"/>
      <c r="AF656" s="14"/>
      <c r="AG656" s="14"/>
      <c r="AH656" s="14"/>
    </row>
    <row r="657">
      <c r="M657" s="59"/>
      <c r="O657" s="60"/>
      <c r="Q657" s="13"/>
      <c r="R657" s="14"/>
      <c r="S657" s="14"/>
      <c r="T657" s="14"/>
      <c r="U657" s="14"/>
      <c r="V657" s="14"/>
      <c r="W657" s="14"/>
      <c r="X657" s="15"/>
      <c r="Y657" s="14"/>
      <c r="Z657" s="16"/>
      <c r="AA657" s="14"/>
      <c r="AB657" s="14"/>
      <c r="AC657" s="14"/>
      <c r="AD657" s="14"/>
      <c r="AE657" s="14"/>
      <c r="AF657" s="14"/>
      <c r="AG657" s="14"/>
      <c r="AH657" s="14"/>
    </row>
    <row r="658">
      <c r="M658" s="59"/>
      <c r="O658" s="60"/>
      <c r="Q658" s="13"/>
      <c r="R658" s="14"/>
      <c r="S658" s="14"/>
      <c r="T658" s="14"/>
      <c r="U658" s="14"/>
      <c r="V658" s="14"/>
      <c r="W658" s="14"/>
      <c r="X658" s="15"/>
      <c r="Y658" s="14"/>
      <c r="Z658" s="16"/>
      <c r="AA658" s="14"/>
      <c r="AB658" s="14"/>
      <c r="AC658" s="14"/>
      <c r="AD658" s="14"/>
      <c r="AE658" s="14"/>
      <c r="AF658" s="14"/>
      <c r="AG658" s="14"/>
      <c r="AH658" s="14"/>
    </row>
    <row r="659">
      <c r="M659" s="59"/>
      <c r="O659" s="60"/>
      <c r="Q659" s="13"/>
      <c r="R659" s="14"/>
      <c r="S659" s="14"/>
      <c r="T659" s="14"/>
      <c r="U659" s="14"/>
      <c r="V659" s="14"/>
      <c r="W659" s="14"/>
      <c r="X659" s="15"/>
      <c r="Y659" s="14"/>
      <c r="Z659" s="16"/>
      <c r="AA659" s="14"/>
      <c r="AB659" s="14"/>
      <c r="AC659" s="14"/>
      <c r="AD659" s="14"/>
      <c r="AE659" s="14"/>
      <c r="AF659" s="14"/>
      <c r="AG659" s="14"/>
      <c r="AH659" s="14"/>
    </row>
    <row r="660">
      <c r="M660" s="59"/>
      <c r="O660" s="60"/>
      <c r="Q660" s="13"/>
      <c r="R660" s="14"/>
      <c r="S660" s="14"/>
      <c r="T660" s="14"/>
      <c r="U660" s="14"/>
      <c r="V660" s="14"/>
      <c r="W660" s="14"/>
      <c r="X660" s="15"/>
      <c r="Y660" s="14"/>
      <c r="Z660" s="16"/>
      <c r="AA660" s="14"/>
      <c r="AB660" s="14"/>
      <c r="AC660" s="14"/>
      <c r="AD660" s="14"/>
      <c r="AE660" s="14"/>
      <c r="AF660" s="14"/>
      <c r="AG660" s="14"/>
      <c r="AH660" s="14"/>
    </row>
    <row r="661">
      <c r="M661" s="59"/>
      <c r="O661" s="60"/>
      <c r="Q661" s="13"/>
      <c r="R661" s="14"/>
      <c r="S661" s="14"/>
      <c r="T661" s="14"/>
      <c r="U661" s="14"/>
      <c r="V661" s="14"/>
      <c r="W661" s="14"/>
      <c r="X661" s="15"/>
      <c r="Y661" s="14"/>
      <c r="Z661" s="16"/>
      <c r="AA661" s="14"/>
      <c r="AB661" s="14"/>
      <c r="AC661" s="14"/>
      <c r="AD661" s="14"/>
      <c r="AE661" s="14"/>
      <c r="AF661" s="14"/>
      <c r="AG661" s="14"/>
      <c r="AH661" s="14"/>
    </row>
    <row r="662">
      <c r="M662" s="59"/>
      <c r="O662" s="60"/>
      <c r="Q662" s="13"/>
      <c r="R662" s="14"/>
      <c r="S662" s="14"/>
      <c r="T662" s="14"/>
      <c r="U662" s="14"/>
      <c r="V662" s="14"/>
      <c r="W662" s="14"/>
      <c r="X662" s="15"/>
      <c r="Y662" s="14"/>
      <c r="Z662" s="16"/>
      <c r="AA662" s="14"/>
      <c r="AB662" s="14"/>
      <c r="AC662" s="14"/>
      <c r="AD662" s="14"/>
      <c r="AE662" s="14"/>
      <c r="AF662" s="14"/>
      <c r="AG662" s="14"/>
      <c r="AH662" s="14"/>
    </row>
    <row r="663">
      <c r="M663" s="59"/>
      <c r="O663" s="60"/>
      <c r="Q663" s="13"/>
      <c r="R663" s="14"/>
      <c r="S663" s="14"/>
      <c r="T663" s="14"/>
      <c r="U663" s="14"/>
      <c r="V663" s="14"/>
      <c r="W663" s="14"/>
      <c r="X663" s="15"/>
      <c r="Y663" s="14"/>
      <c r="Z663" s="16"/>
      <c r="AA663" s="14"/>
      <c r="AB663" s="14"/>
      <c r="AC663" s="14"/>
      <c r="AD663" s="14"/>
      <c r="AE663" s="14"/>
      <c r="AF663" s="14"/>
      <c r="AG663" s="14"/>
      <c r="AH663" s="14"/>
    </row>
    <row r="664">
      <c r="M664" s="59"/>
      <c r="O664" s="60"/>
      <c r="Q664" s="13"/>
      <c r="R664" s="14"/>
      <c r="S664" s="14"/>
      <c r="T664" s="14"/>
      <c r="U664" s="14"/>
      <c r="V664" s="14"/>
      <c r="W664" s="14"/>
      <c r="X664" s="15"/>
      <c r="Y664" s="14"/>
      <c r="Z664" s="16"/>
      <c r="AA664" s="14"/>
      <c r="AB664" s="14"/>
      <c r="AC664" s="14"/>
      <c r="AD664" s="14"/>
      <c r="AE664" s="14"/>
      <c r="AF664" s="14"/>
      <c r="AG664" s="14"/>
      <c r="AH664" s="14"/>
    </row>
    <row r="665">
      <c r="M665" s="59"/>
      <c r="O665" s="60"/>
      <c r="Q665" s="13"/>
      <c r="R665" s="14"/>
      <c r="S665" s="14"/>
      <c r="T665" s="14"/>
      <c r="U665" s="14"/>
      <c r="V665" s="14"/>
      <c r="W665" s="14"/>
      <c r="X665" s="15"/>
      <c r="Y665" s="14"/>
      <c r="Z665" s="16"/>
      <c r="AA665" s="14"/>
      <c r="AB665" s="14"/>
      <c r="AC665" s="14"/>
      <c r="AD665" s="14"/>
      <c r="AE665" s="14"/>
      <c r="AF665" s="14"/>
      <c r="AG665" s="14"/>
      <c r="AH665" s="14"/>
    </row>
    <row r="666">
      <c r="M666" s="59"/>
      <c r="O666" s="60"/>
      <c r="Q666" s="13"/>
      <c r="R666" s="14"/>
      <c r="S666" s="14"/>
      <c r="T666" s="14"/>
      <c r="U666" s="14"/>
      <c r="V666" s="14"/>
      <c r="W666" s="14"/>
      <c r="X666" s="15"/>
      <c r="Y666" s="14"/>
      <c r="Z666" s="16"/>
      <c r="AA666" s="14"/>
      <c r="AB666" s="14"/>
      <c r="AC666" s="14"/>
      <c r="AD666" s="14"/>
      <c r="AE666" s="14"/>
      <c r="AF666" s="14"/>
      <c r="AG666" s="14"/>
      <c r="AH666" s="14"/>
    </row>
    <row r="667">
      <c r="M667" s="59"/>
      <c r="O667" s="60"/>
      <c r="Q667" s="13"/>
      <c r="R667" s="14"/>
      <c r="S667" s="14"/>
      <c r="T667" s="14"/>
      <c r="U667" s="14"/>
      <c r="V667" s="14"/>
      <c r="W667" s="14"/>
      <c r="X667" s="15"/>
      <c r="Y667" s="14"/>
      <c r="Z667" s="16"/>
      <c r="AA667" s="14"/>
      <c r="AB667" s="14"/>
      <c r="AC667" s="14"/>
      <c r="AD667" s="14"/>
      <c r="AE667" s="14"/>
      <c r="AF667" s="14"/>
      <c r="AG667" s="14"/>
      <c r="AH667" s="14"/>
    </row>
    <row r="668">
      <c r="M668" s="59"/>
      <c r="O668" s="60"/>
      <c r="Q668" s="13"/>
      <c r="R668" s="14"/>
      <c r="S668" s="14"/>
      <c r="T668" s="14"/>
      <c r="U668" s="14"/>
      <c r="V668" s="14"/>
      <c r="W668" s="14"/>
      <c r="X668" s="15"/>
      <c r="Y668" s="14"/>
      <c r="Z668" s="16"/>
      <c r="AA668" s="14"/>
      <c r="AB668" s="14"/>
      <c r="AC668" s="14"/>
      <c r="AD668" s="14"/>
      <c r="AE668" s="14"/>
      <c r="AF668" s="14"/>
      <c r="AG668" s="14"/>
      <c r="AH668" s="14"/>
    </row>
    <row r="669">
      <c r="M669" s="59"/>
      <c r="O669" s="60"/>
      <c r="Q669" s="13"/>
      <c r="R669" s="14"/>
      <c r="S669" s="14"/>
      <c r="T669" s="14"/>
      <c r="U669" s="14"/>
      <c r="V669" s="14"/>
      <c r="W669" s="14"/>
      <c r="X669" s="15"/>
      <c r="Y669" s="14"/>
      <c r="Z669" s="16"/>
      <c r="AA669" s="14"/>
      <c r="AB669" s="14"/>
      <c r="AC669" s="14"/>
      <c r="AD669" s="14"/>
      <c r="AE669" s="14"/>
      <c r="AF669" s="14"/>
      <c r="AG669" s="14"/>
      <c r="AH669" s="14"/>
    </row>
    <row r="670">
      <c r="M670" s="59"/>
      <c r="O670" s="60"/>
      <c r="Q670" s="13"/>
      <c r="R670" s="14"/>
      <c r="S670" s="14"/>
      <c r="T670" s="14"/>
      <c r="U670" s="14"/>
      <c r="V670" s="14"/>
      <c r="W670" s="14"/>
      <c r="X670" s="15"/>
      <c r="Y670" s="14"/>
      <c r="Z670" s="16"/>
      <c r="AA670" s="14"/>
      <c r="AB670" s="14"/>
      <c r="AC670" s="14"/>
      <c r="AD670" s="14"/>
      <c r="AE670" s="14"/>
      <c r="AF670" s="14"/>
      <c r="AG670" s="14"/>
      <c r="AH670" s="14"/>
    </row>
    <row r="671">
      <c r="M671" s="59"/>
      <c r="O671" s="60"/>
      <c r="Q671" s="13"/>
      <c r="R671" s="14"/>
      <c r="S671" s="14"/>
      <c r="T671" s="14"/>
      <c r="U671" s="14"/>
      <c r="V671" s="14"/>
      <c r="W671" s="14"/>
      <c r="X671" s="15"/>
      <c r="Y671" s="14"/>
      <c r="Z671" s="16"/>
      <c r="AA671" s="14"/>
      <c r="AB671" s="14"/>
      <c r="AC671" s="14"/>
      <c r="AD671" s="14"/>
      <c r="AE671" s="14"/>
      <c r="AF671" s="14"/>
      <c r="AG671" s="14"/>
      <c r="AH671" s="14"/>
    </row>
    <row r="672">
      <c r="M672" s="59"/>
      <c r="O672" s="60"/>
      <c r="Q672" s="13"/>
      <c r="R672" s="14"/>
      <c r="S672" s="14"/>
      <c r="T672" s="14"/>
      <c r="U672" s="14"/>
      <c r="V672" s="14"/>
      <c r="W672" s="14"/>
      <c r="X672" s="15"/>
      <c r="Y672" s="14"/>
      <c r="Z672" s="16"/>
      <c r="AA672" s="14"/>
      <c r="AB672" s="14"/>
      <c r="AC672" s="14"/>
      <c r="AD672" s="14"/>
      <c r="AE672" s="14"/>
      <c r="AF672" s="14"/>
      <c r="AG672" s="14"/>
      <c r="AH672" s="14"/>
    </row>
    <row r="673">
      <c r="M673" s="59"/>
      <c r="O673" s="60"/>
      <c r="Q673" s="13"/>
      <c r="R673" s="14"/>
      <c r="S673" s="14"/>
      <c r="T673" s="14"/>
      <c r="U673" s="14"/>
      <c r="V673" s="14"/>
      <c r="W673" s="14"/>
      <c r="X673" s="15"/>
      <c r="Y673" s="14"/>
      <c r="Z673" s="16"/>
      <c r="AA673" s="14"/>
      <c r="AB673" s="14"/>
      <c r="AC673" s="14"/>
      <c r="AD673" s="14"/>
      <c r="AE673" s="14"/>
      <c r="AF673" s="14"/>
      <c r="AG673" s="14"/>
      <c r="AH673" s="14"/>
    </row>
    <row r="674">
      <c r="M674" s="59"/>
      <c r="O674" s="60"/>
      <c r="Q674" s="13"/>
      <c r="R674" s="14"/>
      <c r="S674" s="14"/>
      <c r="T674" s="14"/>
      <c r="U674" s="14"/>
      <c r="V674" s="14"/>
      <c r="W674" s="14"/>
      <c r="X674" s="15"/>
      <c r="Y674" s="14"/>
      <c r="Z674" s="16"/>
      <c r="AA674" s="14"/>
      <c r="AB674" s="14"/>
      <c r="AC674" s="14"/>
      <c r="AD674" s="14"/>
      <c r="AE674" s="14"/>
      <c r="AF674" s="14"/>
      <c r="AG674" s="14"/>
      <c r="AH674" s="14"/>
    </row>
    <row r="675">
      <c r="M675" s="59"/>
      <c r="O675" s="60"/>
      <c r="Q675" s="13"/>
      <c r="R675" s="14"/>
      <c r="S675" s="14"/>
      <c r="T675" s="14"/>
      <c r="U675" s="14"/>
      <c r="V675" s="14"/>
      <c r="W675" s="14"/>
      <c r="X675" s="15"/>
      <c r="Y675" s="14"/>
      <c r="Z675" s="16"/>
      <c r="AA675" s="14"/>
      <c r="AB675" s="14"/>
      <c r="AC675" s="14"/>
      <c r="AD675" s="14"/>
      <c r="AE675" s="14"/>
      <c r="AF675" s="14"/>
      <c r="AG675" s="14"/>
      <c r="AH675" s="14"/>
    </row>
    <row r="676">
      <c r="M676" s="59"/>
      <c r="O676" s="60"/>
      <c r="Q676" s="13"/>
      <c r="R676" s="14"/>
      <c r="S676" s="14"/>
      <c r="T676" s="14"/>
      <c r="U676" s="14"/>
      <c r="V676" s="14"/>
      <c r="W676" s="14"/>
      <c r="X676" s="15"/>
      <c r="Y676" s="14"/>
      <c r="Z676" s="16"/>
      <c r="AA676" s="14"/>
      <c r="AB676" s="14"/>
      <c r="AC676" s="14"/>
      <c r="AD676" s="14"/>
      <c r="AE676" s="14"/>
      <c r="AF676" s="14"/>
      <c r="AG676" s="14"/>
      <c r="AH676" s="14"/>
    </row>
    <row r="677">
      <c r="M677" s="59"/>
      <c r="O677" s="60"/>
      <c r="Q677" s="13"/>
      <c r="R677" s="14"/>
      <c r="S677" s="14"/>
      <c r="T677" s="14"/>
      <c r="U677" s="14"/>
      <c r="V677" s="14"/>
      <c r="W677" s="14"/>
      <c r="X677" s="15"/>
      <c r="Y677" s="14"/>
      <c r="Z677" s="16"/>
      <c r="AA677" s="14"/>
      <c r="AB677" s="14"/>
      <c r="AC677" s="14"/>
      <c r="AD677" s="14"/>
      <c r="AE677" s="14"/>
      <c r="AF677" s="14"/>
      <c r="AG677" s="14"/>
      <c r="AH677" s="14"/>
    </row>
    <row r="678">
      <c r="M678" s="59"/>
      <c r="O678" s="60"/>
      <c r="Q678" s="13"/>
      <c r="R678" s="14"/>
      <c r="S678" s="14"/>
      <c r="T678" s="14"/>
      <c r="U678" s="14"/>
      <c r="V678" s="14"/>
      <c r="W678" s="14"/>
      <c r="X678" s="15"/>
      <c r="Y678" s="14"/>
      <c r="Z678" s="16"/>
      <c r="AA678" s="14"/>
      <c r="AB678" s="14"/>
      <c r="AC678" s="14"/>
      <c r="AD678" s="14"/>
      <c r="AE678" s="14"/>
      <c r="AF678" s="14"/>
      <c r="AG678" s="14"/>
      <c r="AH678" s="14"/>
    </row>
    <row r="679">
      <c r="M679" s="59"/>
      <c r="O679" s="60"/>
      <c r="Q679" s="13"/>
      <c r="R679" s="14"/>
      <c r="S679" s="14"/>
      <c r="T679" s="14"/>
      <c r="U679" s="14"/>
      <c r="V679" s="14"/>
      <c r="W679" s="14"/>
      <c r="X679" s="15"/>
      <c r="Y679" s="14"/>
      <c r="Z679" s="16"/>
      <c r="AA679" s="14"/>
      <c r="AB679" s="14"/>
      <c r="AC679" s="14"/>
      <c r="AD679" s="14"/>
      <c r="AE679" s="14"/>
      <c r="AF679" s="14"/>
      <c r="AG679" s="14"/>
      <c r="AH679" s="14"/>
    </row>
    <row r="680">
      <c r="M680" s="59"/>
      <c r="O680" s="60"/>
      <c r="Q680" s="13"/>
      <c r="R680" s="14"/>
      <c r="S680" s="14"/>
      <c r="T680" s="14"/>
      <c r="U680" s="14"/>
      <c r="V680" s="14"/>
      <c r="W680" s="14"/>
      <c r="X680" s="15"/>
      <c r="Y680" s="14"/>
      <c r="Z680" s="16"/>
      <c r="AA680" s="14"/>
      <c r="AB680" s="14"/>
      <c r="AC680" s="14"/>
      <c r="AD680" s="14"/>
      <c r="AE680" s="14"/>
      <c r="AF680" s="14"/>
      <c r="AG680" s="14"/>
      <c r="AH680" s="14"/>
    </row>
    <row r="681">
      <c r="M681" s="59"/>
      <c r="O681" s="60"/>
      <c r="Q681" s="13"/>
      <c r="R681" s="14"/>
      <c r="S681" s="14"/>
      <c r="T681" s="14"/>
      <c r="U681" s="14"/>
      <c r="V681" s="14"/>
      <c r="W681" s="14"/>
      <c r="X681" s="15"/>
      <c r="Y681" s="14"/>
      <c r="Z681" s="16"/>
      <c r="AA681" s="14"/>
      <c r="AB681" s="14"/>
      <c r="AC681" s="14"/>
      <c r="AD681" s="14"/>
      <c r="AE681" s="14"/>
      <c r="AF681" s="14"/>
      <c r="AG681" s="14"/>
      <c r="AH681" s="14"/>
    </row>
    <row r="682">
      <c r="M682" s="59"/>
      <c r="O682" s="60"/>
      <c r="Q682" s="13"/>
      <c r="R682" s="14"/>
      <c r="S682" s="14"/>
      <c r="T682" s="14"/>
      <c r="U682" s="14"/>
      <c r="V682" s="14"/>
      <c r="W682" s="14"/>
      <c r="X682" s="15"/>
      <c r="Y682" s="14"/>
      <c r="Z682" s="16"/>
      <c r="AA682" s="14"/>
      <c r="AB682" s="14"/>
      <c r="AC682" s="14"/>
      <c r="AD682" s="14"/>
      <c r="AE682" s="14"/>
      <c r="AF682" s="14"/>
      <c r="AG682" s="14"/>
      <c r="AH682" s="14"/>
    </row>
    <row r="683">
      <c r="M683" s="59"/>
      <c r="O683" s="60"/>
      <c r="Q683" s="13"/>
      <c r="R683" s="14"/>
      <c r="S683" s="14"/>
      <c r="T683" s="14"/>
      <c r="U683" s="14"/>
      <c r="V683" s="14"/>
      <c r="W683" s="14"/>
      <c r="X683" s="15"/>
      <c r="Y683" s="14"/>
      <c r="Z683" s="16"/>
      <c r="AA683" s="14"/>
      <c r="AB683" s="14"/>
      <c r="AC683" s="14"/>
      <c r="AD683" s="14"/>
      <c r="AE683" s="14"/>
      <c r="AF683" s="14"/>
      <c r="AG683" s="14"/>
      <c r="AH683" s="14"/>
    </row>
    <row r="684">
      <c r="M684" s="59"/>
      <c r="O684" s="60"/>
      <c r="Q684" s="13"/>
      <c r="R684" s="14"/>
      <c r="S684" s="14"/>
      <c r="T684" s="14"/>
      <c r="U684" s="14"/>
      <c r="V684" s="14"/>
      <c r="W684" s="14"/>
      <c r="X684" s="15"/>
      <c r="Y684" s="14"/>
      <c r="Z684" s="16"/>
      <c r="AA684" s="14"/>
      <c r="AB684" s="14"/>
      <c r="AC684" s="14"/>
      <c r="AD684" s="14"/>
      <c r="AE684" s="14"/>
      <c r="AF684" s="14"/>
      <c r="AG684" s="14"/>
      <c r="AH684" s="14"/>
    </row>
    <row r="685">
      <c r="M685" s="59"/>
      <c r="O685" s="60"/>
      <c r="Q685" s="13"/>
      <c r="R685" s="14"/>
      <c r="S685" s="14"/>
      <c r="T685" s="14"/>
      <c r="U685" s="14"/>
      <c r="V685" s="14"/>
      <c r="W685" s="14"/>
      <c r="X685" s="15"/>
      <c r="Y685" s="14"/>
      <c r="Z685" s="16"/>
      <c r="AA685" s="14"/>
      <c r="AB685" s="14"/>
      <c r="AC685" s="14"/>
      <c r="AD685" s="14"/>
      <c r="AE685" s="14"/>
      <c r="AF685" s="14"/>
      <c r="AG685" s="14"/>
      <c r="AH685" s="14"/>
    </row>
    <row r="686">
      <c r="M686" s="59"/>
      <c r="O686" s="60"/>
      <c r="Q686" s="13"/>
      <c r="R686" s="14"/>
      <c r="S686" s="14"/>
      <c r="T686" s="14"/>
      <c r="U686" s="14"/>
      <c r="V686" s="14"/>
      <c r="W686" s="14"/>
      <c r="X686" s="15"/>
      <c r="Y686" s="14"/>
      <c r="Z686" s="16"/>
      <c r="AA686" s="14"/>
      <c r="AB686" s="14"/>
      <c r="AC686" s="14"/>
      <c r="AD686" s="14"/>
      <c r="AE686" s="14"/>
      <c r="AF686" s="14"/>
      <c r="AG686" s="14"/>
      <c r="AH686" s="14"/>
    </row>
    <row r="687">
      <c r="M687" s="59"/>
      <c r="O687" s="60"/>
      <c r="Q687" s="13"/>
      <c r="R687" s="14"/>
      <c r="S687" s="14"/>
      <c r="T687" s="14"/>
      <c r="U687" s="14"/>
      <c r="V687" s="14"/>
      <c r="W687" s="14"/>
      <c r="X687" s="15"/>
      <c r="Y687" s="14"/>
      <c r="Z687" s="16"/>
      <c r="AA687" s="14"/>
      <c r="AB687" s="14"/>
      <c r="AC687" s="14"/>
      <c r="AD687" s="14"/>
      <c r="AE687" s="14"/>
      <c r="AF687" s="14"/>
      <c r="AG687" s="14"/>
      <c r="AH687" s="14"/>
    </row>
    <row r="688">
      <c r="M688" s="59"/>
      <c r="O688" s="60"/>
      <c r="Q688" s="13"/>
      <c r="R688" s="14"/>
      <c r="S688" s="14"/>
      <c r="T688" s="14"/>
      <c r="U688" s="14"/>
      <c r="V688" s="14"/>
      <c r="W688" s="14"/>
      <c r="X688" s="15"/>
      <c r="Y688" s="14"/>
      <c r="Z688" s="16"/>
      <c r="AA688" s="14"/>
      <c r="AB688" s="14"/>
      <c r="AC688" s="14"/>
      <c r="AD688" s="14"/>
      <c r="AE688" s="14"/>
      <c r="AF688" s="14"/>
      <c r="AG688" s="14"/>
      <c r="AH688" s="14"/>
    </row>
    <row r="689">
      <c r="M689" s="59"/>
      <c r="O689" s="60"/>
      <c r="Q689" s="13"/>
      <c r="R689" s="14"/>
      <c r="S689" s="14"/>
      <c r="T689" s="14"/>
      <c r="U689" s="14"/>
      <c r="V689" s="14"/>
      <c r="W689" s="14"/>
      <c r="X689" s="15"/>
      <c r="Y689" s="14"/>
      <c r="Z689" s="16"/>
      <c r="AA689" s="14"/>
      <c r="AB689" s="14"/>
      <c r="AC689" s="14"/>
      <c r="AD689" s="14"/>
      <c r="AE689" s="14"/>
      <c r="AF689" s="14"/>
      <c r="AG689" s="14"/>
      <c r="AH689" s="14"/>
    </row>
    <row r="690">
      <c r="M690" s="59"/>
      <c r="O690" s="60"/>
      <c r="Q690" s="13"/>
      <c r="R690" s="14"/>
      <c r="S690" s="14"/>
      <c r="T690" s="14"/>
      <c r="U690" s="14"/>
      <c r="V690" s="14"/>
      <c r="W690" s="14"/>
      <c r="X690" s="15"/>
      <c r="Y690" s="14"/>
      <c r="Z690" s="16"/>
      <c r="AA690" s="14"/>
      <c r="AB690" s="14"/>
      <c r="AC690" s="14"/>
      <c r="AD690" s="14"/>
      <c r="AE690" s="14"/>
      <c r="AF690" s="14"/>
      <c r="AG690" s="14"/>
      <c r="AH690" s="14"/>
    </row>
    <row r="691">
      <c r="M691" s="59"/>
      <c r="O691" s="60"/>
      <c r="Q691" s="13"/>
      <c r="R691" s="14"/>
      <c r="S691" s="14"/>
      <c r="T691" s="14"/>
      <c r="U691" s="14"/>
      <c r="V691" s="14"/>
      <c r="W691" s="14"/>
      <c r="X691" s="15"/>
      <c r="Y691" s="14"/>
      <c r="Z691" s="16"/>
      <c r="AA691" s="14"/>
      <c r="AB691" s="14"/>
      <c r="AC691" s="14"/>
      <c r="AD691" s="14"/>
      <c r="AE691" s="14"/>
      <c r="AF691" s="14"/>
      <c r="AG691" s="14"/>
      <c r="AH691" s="14"/>
    </row>
    <row r="692">
      <c r="M692" s="59"/>
      <c r="O692" s="60"/>
      <c r="Q692" s="13"/>
      <c r="R692" s="14"/>
      <c r="S692" s="14"/>
      <c r="T692" s="14"/>
      <c r="U692" s="14"/>
      <c r="V692" s="14"/>
      <c r="W692" s="14"/>
      <c r="X692" s="15"/>
      <c r="Y692" s="14"/>
      <c r="Z692" s="16"/>
      <c r="AA692" s="14"/>
      <c r="AB692" s="14"/>
      <c r="AC692" s="14"/>
      <c r="AD692" s="14"/>
      <c r="AE692" s="14"/>
      <c r="AF692" s="14"/>
      <c r="AG692" s="14"/>
      <c r="AH692" s="14"/>
    </row>
    <row r="693">
      <c r="M693" s="59"/>
      <c r="O693" s="60"/>
      <c r="Q693" s="13"/>
      <c r="R693" s="14"/>
      <c r="S693" s="14"/>
      <c r="T693" s="14"/>
      <c r="U693" s="14"/>
      <c r="V693" s="14"/>
      <c r="W693" s="14"/>
      <c r="X693" s="15"/>
      <c r="Y693" s="14"/>
      <c r="Z693" s="16"/>
      <c r="AA693" s="14"/>
      <c r="AB693" s="14"/>
      <c r="AC693" s="14"/>
      <c r="AD693" s="14"/>
      <c r="AE693" s="14"/>
      <c r="AF693" s="14"/>
      <c r="AG693" s="14"/>
      <c r="AH693" s="14"/>
    </row>
    <row r="694">
      <c r="M694" s="59"/>
      <c r="O694" s="60"/>
      <c r="Q694" s="13"/>
      <c r="R694" s="14"/>
      <c r="S694" s="14"/>
      <c r="T694" s="14"/>
      <c r="U694" s="14"/>
      <c r="V694" s="14"/>
      <c r="W694" s="14"/>
      <c r="X694" s="15"/>
      <c r="Y694" s="14"/>
      <c r="Z694" s="16"/>
      <c r="AA694" s="14"/>
      <c r="AB694" s="14"/>
      <c r="AC694" s="14"/>
      <c r="AD694" s="14"/>
      <c r="AE694" s="14"/>
      <c r="AF694" s="14"/>
      <c r="AG694" s="14"/>
      <c r="AH694" s="14"/>
    </row>
    <row r="695">
      <c r="M695" s="59"/>
      <c r="O695" s="60"/>
      <c r="Q695" s="13"/>
      <c r="R695" s="14"/>
      <c r="S695" s="14"/>
      <c r="T695" s="14"/>
      <c r="U695" s="14"/>
      <c r="V695" s="14"/>
      <c r="W695" s="14"/>
      <c r="X695" s="15"/>
      <c r="Y695" s="14"/>
      <c r="Z695" s="16"/>
      <c r="AA695" s="14"/>
      <c r="AB695" s="14"/>
      <c r="AC695" s="14"/>
      <c r="AD695" s="14"/>
      <c r="AE695" s="14"/>
      <c r="AF695" s="14"/>
      <c r="AG695" s="14"/>
      <c r="AH695" s="14"/>
    </row>
    <row r="696">
      <c r="M696" s="59"/>
      <c r="O696" s="60"/>
      <c r="Q696" s="13"/>
      <c r="R696" s="14"/>
      <c r="S696" s="14"/>
      <c r="T696" s="14"/>
      <c r="U696" s="14"/>
      <c r="V696" s="14"/>
      <c r="W696" s="14"/>
      <c r="X696" s="15"/>
      <c r="Y696" s="14"/>
      <c r="Z696" s="16"/>
      <c r="AA696" s="14"/>
      <c r="AB696" s="14"/>
      <c r="AC696" s="14"/>
      <c r="AD696" s="14"/>
      <c r="AE696" s="14"/>
      <c r="AF696" s="14"/>
      <c r="AG696" s="14"/>
      <c r="AH696" s="14"/>
    </row>
    <row r="697">
      <c r="M697" s="59"/>
      <c r="O697" s="60"/>
      <c r="Q697" s="13"/>
      <c r="R697" s="14"/>
      <c r="S697" s="14"/>
      <c r="T697" s="14"/>
      <c r="U697" s="14"/>
      <c r="V697" s="14"/>
      <c r="W697" s="14"/>
      <c r="X697" s="15"/>
      <c r="Y697" s="14"/>
      <c r="Z697" s="16"/>
      <c r="AA697" s="14"/>
      <c r="AB697" s="14"/>
      <c r="AC697" s="14"/>
      <c r="AD697" s="14"/>
      <c r="AE697" s="14"/>
      <c r="AF697" s="14"/>
      <c r="AG697" s="14"/>
      <c r="AH697" s="14"/>
    </row>
    <row r="698">
      <c r="M698" s="59"/>
      <c r="O698" s="60"/>
      <c r="Q698" s="13"/>
      <c r="R698" s="14"/>
      <c r="S698" s="14"/>
      <c r="T698" s="14"/>
      <c r="U698" s="14"/>
      <c r="V698" s="14"/>
      <c r="W698" s="14"/>
      <c r="X698" s="15"/>
      <c r="Y698" s="14"/>
      <c r="Z698" s="16"/>
      <c r="AA698" s="14"/>
      <c r="AB698" s="14"/>
      <c r="AC698" s="14"/>
      <c r="AD698" s="14"/>
      <c r="AE698" s="14"/>
      <c r="AF698" s="14"/>
      <c r="AG698" s="14"/>
      <c r="AH698" s="14"/>
    </row>
    <row r="699">
      <c r="M699" s="59"/>
      <c r="O699" s="60"/>
      <c r="Q699" s="13"/>
      <c r="R699" s="14"/>
      <c r="S699" s="14"/>
      <c r="T699" s="14"/>
      <c r="U699" s="14"/>
      <c r="V699" s="14"/>
      <c r="W699" s="14"/>
      <c r="X699" s="15"/>
      <c r="Y699" s="14"/>
      <c r="Z699" s="16"/>
      <c r="AA699" s="14"/>
      <c r="AB699" s="14"/>
      <c r="AC699" s="14"/>
      <c r="AD699" s="14"/>
      <c r="AE699" s="14"/>
      <c r="AF699" s="14"/>
      <c r="AG699" s="14"/>
      <c r="AH699" s="14"/>
    </row>
    <row r="700">
      <c r="M700" s="59"/>
      <c r="O700" s="60"/>
      <c r="Q700" s="13"/>
      <c r="R700" s="14"/>
      <c r="S700" s="14"/>
      <c r="T700" s="14"/>
      <c r="U700" s="14"/>
      <c r="V700" s="14"/>
      <c r="W700" s="14"/>
      <c r="X700" s="15"/>
      <c r="Y700" s="14"/>
      <c r="Z700" s="16"/>
      <c r="AA700" s="14"/>
      <c r="AB700" s="14"/>
      <c r="AC700" s="14"/>
      <c r="AD700" s="14"/>
      <c r="AE700" s="14"/>
      <c r="AF700" s="14"/>
      <c r="AG700" s="14"/>
      <c r="AH700" s="14"/>
    </row>
    <row r="701">
      <c r="M701" s="59"/>
      <c r="O701" s="60"/>
      <c r="Q701" s="13"/>
      <c r="R701" s="14"/>
      <c r="S701" s="14"/>
      <c r="T701" s="14"/>
      <c r="U701" s="14"/>
      <c r="V701" s="14"/>
      <c r="W701" s="14"/>
      <c r="X701" s="15"/>
      <c r="Y701" s="14"/>
      <c r="Z701" s="16"/>
      <c r="AA701" s="14"/>
      <c r="AB701" s="14"/>
      <c r="AC701" s="14"/>
      <c r="AD701" s="14"/>
      <c r="AE701" s="14"/>
      <c r="AF701" s="14"/>
      <c r="AG701" s="14"/>
      <c r="AH701" s="14"/>
    </row>
    <row r="702">
      <c r="M702" s="59"/>
      <c r="O702" s="60"/>
      <c r="Q702" s="13"/>
      <c r="R702" s="14"/>
      <c r="S702" s="14"/>
      <c r="T702" s="14"/>
      <c r="U702" s="14"/>
      <c r="V702" s="14"/>
      <c r="W702" s="14"/>
      <c r="X702" s="15"/>
      <c r="Y702" s="14"/>
      <c r="Z702" s="16"/>
      <c r="AA702" s="14"/>
      <c r="AB702" s="14"/>
      <c r="AC702" s="14"/>
      <c r="AD702" s="14"/>
      <c r="AE702" s="14"/>
      <c r="AF702" s="14"/>
      <c r="AG702" s="14"/>
      <c r="AH702" s="14"/>
    </row>
    <row r="703">
      <c r="M703" s="59"/>
      <c r="O703" s="60"/>
      <c r="Q703" s="13"/>
      <c r="R703" s="14"/>
      <c r="S703" s="14"/>
      <c r="T703" s="14"/>
      <c r="U703" s="14"/>
      <c r="V703" s="14"/>
      <c r="W703" s="14"/>
      <c r="X703" s="15"/>
      <c r="Y703" s="14"/>
      <c r="Z703" s="16"/>
      <c r="AA703" s="14"/>
      <c r="AB703" s="14"/>
      <c r="AC703" s="14"/>
      <c r="AD703" s="14"/>
      <c r="AE703" s="14"/>
      <c r="AF703" s="14"/>
      <c r="AG703" s="14"/>
      <c r="AH703" s="14"/>
    </row>
    <row r="704">
      <c r="M704" s="59"/>
      <c r="O704" s="60"/>
      <c r="Q704" s="13"/>
      <c r="R704" s="14"/>
      <c r="S704" s="14"/>
      <c r="T704" s="14"/>
      <c r="U704" s="14"/>
      <c r="V704" s="14"/>
      <c r="W704" s="14"/>
      <c r="X704" s="15"/>
      <c r="Y704" s="14"/>
      <c r="Z704" s="16"/>
      <c r="AA704" s="14"/>
      <c r="AB704" s="14"/>
      <c r="AC704" s="14"/>
      <c r="AD704" s="14"/>
      <c r="AE704" s="14"/>
      <c r="AF704" s="14"/>
      <c r="AG704" s="14"/>
      <c r="AH704" s="14"/>
    </row>
    <row r="705">
      <c r="M705" s="59"/>
      <c r="O705" s="60"/>
      <c r="Q705" s="13"/>
      <c r="R705" s="14"/>
      <c r="S705" s="14"/>
      <c r="T705" s="14"/>
      <c r="U705" s="14"/>
      <c r="V705" s="14"/>
      <c r="W705" s="14"/>
      <c r="X705" s="15"/>
      <c r="Y705" s="14"/>
      <c r="Z705" s="16"/>
      <c r="AA705" s="14"/>
      <c r="AB705" s="14"/>
      <c r="AC705" s="14"/>
      <c r="AD705" s="14"/>
      <c r="AE705" s="14"/>
      <c r="AF705" s="14"/>
      <c r="AG705" s="14"/>
      <c r="AH705" s="14"/>
    </row>
    <row r="706">
      <c r="M706" s="59"/>
      <c r="O706" s="60"/>
      <c r="Q706" s="13"/>
      <c r="R706" s="14"/>
      <c r="S706" s="14"/>
      <c r="T706" s="14"/>
      <c r="U706" s="14"/>
      <c r="V706" s="14"/>
      <c r="W706" s="14"/>
      <c r="X706" s="15"/>
      <c r="Y706" s="14"/>
      <c r="Z706" s="16"/>
      <c r="AA706" s="14"/>
      <c r="AB706" s="14"/>
      <c r="AC706" s="14"/>
      <c r="AD706" s="14"/>
      <c r="AE706" s="14"/>
      <c r="AF706" s="14"/>
      <c r="AG706" s="14"/>
      <c r="AH706" s="14"/>
    </row>
    <row r="707">
      <c r="M707" s="59"/>
      <c r="O707" s="60"/>
      <c r="Q707" s="13"/>
      <c r="R707" s="14"/>
      <c r="S707" s="14"/>
      <c r="T707" s="14"/>
      <c r="U707" s="14"/>
      <c r="V707" s="14"/>
      <c r="W707" s="14"/>
      <c r="X707" s="15"/>
      <c r="Y707" s="14"/>
      <c r="Z707" s="16"/>
      <c r="AA707" s="14"/>
      <c r="AB707" s="14"/>
      <c r="AC707" s="14"/>
      <c r="AD707" s="14"/>
      <c r="AE707" s="14"/>
      <c r="AF707" s="14"/>
      <c r="AG707" s="14"/>
      <c r="AH707" s="14"/>
    </row>
    <row r="708">
      <c r="M708" s="59"/>
      <c r="O708" s="60"/>
      <c r="Q708" s="13"/>
      <c r="R708" s="14"/>
      <c r="S708" s="14"/>
      <c r="T708" s="14"/>
      <c r="U708" s="14"/>
      <c r="V708" s="14"/>
      <c r="W708" s="14"/>
      <c r="X708" s="15"/>
      <c r="Y708" s="14"/>
      <c r="Z708" s="16"/>
      <c r="AA708" s="14"/>
      <c r="AB708" s="14"/>
      <c r="AC708" s="14"/>
      <c r="AD708" s="14"/>
      <c r="AE708" s="14"/>
      <c r="AF708" s="14"/>
      <c r="AG708" s="14"/>
      <c r="AH708" s="14"/>
    </row>
    <row r="709">
      <c r="M709" s="59"/>
      <c r="O709" s="60"/>
      <c r="Q709" s="13"/>
      <c r="R709" s="14"/>
      <c r="S709" s="14"/>
      <c r="T709" s="14"/>
      <c r="U709" s="14"/>
      <c r="V709" s="14"/>
      <c r="W709" s="14"/>
      <c r="X709" s="15"/>
      <c r="Y709" s="14"/>
      <c r="Z709" s="16"/>
      <c r="AA709" s="14"/>
      <c r="AB709" s="14"/>
      <c r="AC709" s="14"/>
      <c r="AD709" s="14"/>
      <c r="AE709" s="14"/>
      <c r="AF709" s="14"/>
      <c r="AG709" s="14"/>
      <c r="AH709" s="14"/>
    </row>
    <row r="710">
      <c r="M710" s="59"/>
      <c r="O710" s="60"/>
      <c r="Q710" s="13"/>
      <c r="R710" s="14"/>
      <c r="S710" s="14"/>
      <c r="T710" s="14"/>
      <c r="U710" s="14"/>
      <c r="V710" s="14"/>
      <c r="W710" s="14"/>
      <c r="X710" s="15"/>
      <c r="Y710" s="14"/>
      <c r="Z710" s="16"/>
      <c r="AA710" s="14"/>
      <c r="AB710" s="14"/>
      <c r="AC710" s="14"/>
      <c r="AD710" s="14"/>
      <c r="AE710" s="14"/>
      <c r="AF710" s="14"/>
      <c r="AG710" s="14"/>
      <c r="AH710" s="14"/>
    </row>
    <row r="711">
      <c r="M711" s="59"/>
      <c r="O711" s="60"/>
      <c r="Q711" s="13"/>
      <c r="R711" s="14"/>
      <c r="S711" s="14"/>
      <c r="T711" s="14"/>
      <c r="U711" s="14"/>
      <c r="V711" s="14"/>
      <c r="W711" s="14"/>
      <c r="X711" s="15"/>
      <c r="Y711" s="14"/>
      <c r="Z711" s="16"/>
      <c r="AA711" s="14"/>
      <c r="AB711" s="14"/>
      <c r="AC711" s="14"/>
      <c r="AD711" s="14"/>
      <c r="AE711" s="14"/>
      <c r="AF711" s="14"/>
      <c r="AG711" s="14"/>
      <c r="AH711" s="14"/>
    </row>
    <row r="712">
      <c r="M712" s="59"/>
      <c r="O712" s="60"/>
      <c r="Q712" s="13"/>
      <c r="R712" s="14"/>
      <c r="S712" s="14"/>
      <c r="T712" s="14"/>
      <c r="U712" s="14"/>
      <c r="V712" s="14"/>
      <c r="W712" s="14"/>
      <c r="X712" s="15"/>
      <c r="Y712" s="14"/>
      <c r="Z712" s="16"/>
      <c r="AA712" s="14"/>
      <c r="AB712" s="14"/>
      <c r="AC712" s="14"/>
      <c r="AD712" s="14"/>
      <c r="AE712" s="14"/>
      <c r="AF712" s="14"/>
      <c r="AG712" s="14"/>
      <c r="AH712" s="14"/>
    </row>
    <row r="713">
      <c r="M713" s="59"/>
      <c r="O713" s="60"/>
      <c r="Q713" s="13"/>
      <c r="R713" s="14"/>
      <c r="S713" s="14"/>
      <c r="T713" s="14"/>
      <c r="U713" s="14"/>
      <c r="V713" s="14"/>
      <c r="W713" s="14"/>
      <c r="X713" s="15"/>
      <c r="Y713" s="14"/>
      <c r="Z713" s="16"/>
      <c r="AA713" s="14"/>
      <c r="AB713" s="14"/>
      <c r="AC713" s="14"/>
      <c r="AD713" s="14"/>
      <c r="AE713" s="14"/>
      <c r="AF713" s="14"/>
      <c r="AG713" s="14"/>
      <c r="AH713" s="14"/>
    </row>
    <row r="714">
      <c r="M714" s="59"/>
      <c r="O714" s="60"/>
      <c r="Q714" s="13"/>
      <c r="R714" s="14"/>
      <c r="S714" s="14"/>
      <c r="T714" s="14"/>
      <c r="U714" s="14"/>
      <c r="V714" s="14"/>
      <c r="W714" s="14"/>
      <c r="X714" s="15"/>
      <c r="Y714" s="14"/>
      <c r="Z714" s="16"/>
      <c r="AA714" s="14"/>
      <c r="AB714" s="14"/>
      <c r="AC714" s="14"/>
      <c r="AD714" s="14"/>
      <c r="AE714" s="14"/>
      <c r="AF714" s="14"/>
      <c r="AG714" s="14"/>
      <c r="AH714" s="14"/>
    </row>
    <row r="715">
      <c r="M715" s="59"/>
      <c r="O715" s="60"/>
      <c r="Q715" s="13"/>
      <c r="R715" s="14"/>
      <c r="S715" s="14"/>
      <c r="T715" s="14"/>
      <c r="U715" s="14"/>
      <c r="V715" s="14"/>
      <c r="W715" s="14"/>
      <c r="X715" s="15"/>
      <c r="Y715" s="14"/>
      <c r="Z715" s="16"/>
      <c r="AA715" s="14"/>
      <c r="AB715" s="14"/>
      <c r="AC715" s="14"/>
      <c r="AD715" s="14"/>
      <c r="AE715" s="14"/>
      <c r="AF715" s="14"/>
      <c r="AG715" s="14"/>
      <c r="AH715" s="14"/>
    </row>
    <row r="716">
      <c r="M716" s="59"/>
      <c r="O716" s="60"/>
      <c r="Q716" s="13"/>
      <c r="R716" s="14"/>
      <c r="S716" s="14"/>
      <c r="T716" s="14"/>
      <c r="U716" s="14"/>
      <c r="V716" s="14"/>
      <c r="W716" s="14"/>
      <c r="X716" s="15"/>
      <c r="Y716" s="14"/>
      <c r="Z716" s="16"/>
      <c r="AA716" s="14"/>
      <c r="AB716" s="14"/>
      <c r="AC716" s="14"/>
      <c r="AD716" s="14"/>
      <c r="AE716" s="14"/>
      <c r="AF716" s="14"/>
      <c r="AG716" s="14"/>
      <c r="AH716" s="14"/>
    </row>
    <row r="717">
      <c r="M717" s="59"/>
      <c r="O717" s="60"/>
      <c r="Q717" s="13"/>
      <c r="R717" s="14"/>
      <c r="S717" s="14"/>
      <c r="T717" s="14"/>
      <c r="U717" s="14"/>
      <c r="V717" s="14"/>
      <c r="W717" s="14"/>
      <c r="X717" s="15"/>
      <c r="Y717" s="14"/>
      <c r="Z717" s="16"/>
      <c r="AA717" s="14"/>
      <c r="AB717" s="14"/>
      <c r="AC717" s="14"/>
      <c r="AD717" s="14"/>
      <c r="AE717" s="14"/>
      <c r="AF717" s="14"/>
      <c r="AG717" s="14"/>
      <c r="AH717" s="14"/>
    </row>
    <row r="718">
      <c r="M718" s="59"/>
      <c r="O718" s="60"/>
      <c r="Q718" s="13"/>
      <c r="R718" s="14"/>
      <c r="S718" s="14"/>
      <c r="T718" s="14"/>
      <c r="U718" s="14"/>
      <c r="V718" s="14"/>
      <c r="W718" s="14"/>
      <c r="X718" s="15"/>
      <c r="Y718" s="14"/>
      <c r="Z718" s="16"/>
      <c r="AA718" s="14"/>
      <c r="AB718" s="14"/>
      <c r="AC718" s="14"/>
      <c r="AD718" s="14"/>
      <c r="AE718" s="14"/>
      <c r="AF718" s="14"/>
      <c r="AG718" s="14"/>
      <c r="AH718" s="14"/>
    </row>
    <row r="719">
      <c r="M719" s="59"/>
      <c r="O719" s="60"/>
      <c r="Q719" s="13"/>
      <c r="R719" s="14"/>
      <c r="S719" s="14"/>
      <c r="T719" s="14"/>
      <c r="U719" s="14"/>
      <c r="V719" s="14"/>
      <c r="W719" s="14"/>
      <c r="X719" s="15"/>
      <c r="Y719" s="14"/>
      <c r="Z719" s="16"/>
      <c r="AA719" s="14"/>
      <c r="AB719" s="14"/>
      <c r="AC719" s="14"/>
      <c r="AD719" s="14"/>
      <c r="AE719" s="14"/>
      <c r="AF719" s="14"/>
      <c r="AG719" s="14"/>
      <c r="AH719" s="14"/>
    </row>
    <row r="720">
      <c r="M720" s="59"/>
      <c r="O720" s="60"/>
      <c r="Q720" s="13"/>
      <c r="R720" s="14"/>
      <c r="S720" s="14"/>
      <c r="T720" s="14"/>
      <c r="U720" s="14"/>
      <c r="V720" s="14"/>
      <c r="W720" s="14"/>
      <c r="X720" s="15"/>
      <c r="Y720" s="14"/>
      <c r="Z720" s="16"/>
      <c r="AA720" s="14"/>
      <c r="AB720" s="14"/>
      <c r="AC720" s="14"/>
      <c r="AD720" s="14"/>
      <c r="AE720" s="14"/>
      <c r="AF720" s="14"/>
      <c r="AG720" s="14"/>
      <c r="AH720" s="14"/>
    </row>
    <row r="721">
      <c r="M721" s="59"/>
      <c r="O721" s="60"/>
      <c r="Q721" s="13"/>
      <c r="R721" s="14"/>
      <c r="S721" s="14"/>
      <c r="T721" s="14"/>
      <c r="U721" s="14"/>
      <c r="V721" s="14"/>
      <c r="W721" s="14"/>
      <c r="X721" s="15"/>
      <c r="Y721" s="14"/>
      <c r="Z721" s="16"/>
      <c r="AA721" s="14"/>
      <c r="AB721" s="14"/>
      <c r="AC721" s="14"/>
      <c r="AD721" s="14"/>
      <c r="AE721" s="14"/>
      <c r="AF721" s="14"/>
      <c r="AG721" s="14"/>
      <c r="AH721" s="14"/>
    </row>
    <row r="722">
      <c r="M722" s="59"/>
      <c r="O722" s="60"/>
      <c r="Q722" s="13"/>
      <c r="R722" s="14"/>
      <c r="S722" s="14"/>
      <c r="T722" s="14"/>
      <c r="U722" s="14"/>
      <c r="V722" s="14"/>
      <c r="W722" s="14"/>
      <c r="X722" s="15"/>
      <c r="Y722" s="14"/>
      <c r="Z722" s="16"/>
      <c r="AA722" s="14"/>
      <c r="AB722" s="14"/>
      <c r="AC722" s="14"/>
      <c r="AD722" s="14"/>
      <c r="AE722" s="14"/>
      <c r="AF722" s="14"/>
      <c r="AG722" s="14"/>
      <c r="AH722" s="14"/>
    </row>
    <row r="723">
      <c r="M723" s="59"/>
      <c r="O723" s="60"/>
      <c r="Q723" s="13"/>
      <c r="R723" s="14"/>
      <c r="S723" s="14"/>
      <c r="T723" s="14"/>
      <c r="U723" s="14"/>
      <c r="V723" s="14"/>
      <c r="W723" s="14"/>
      <c r="X723" s="15"/>
      <c r="Y723" s="14"/>
      <c r="Z723" s="16"/>
      <c r="AA723" s="14"/>
      <c r="AB723" s="14"/>
      <c r="AC723" s="14"/>
      <c r="AD723" s="14"/>
      <c r="AE723" s="14"/>
      <c r="AF723" s="14"/>
      <c r="AG723" s="14"/>
      <c r="AH723" s="14"/>
    </row>
    <row r="724">
      <c r="M724" s="59"/>
      <c r="O724" s="60"/>
      <c r="Q724" s="13"/>
      <c r="R724" s="14"/>
      <c r="S724" s="14"/>
      <c r="T724" s="14"/>
      <c r="U724" s="14"/>
      <c r="V724" s="14"/>
      <c r="W724" s="14"/>
      <c r="X724" s="15"/>
      <c r="Y724" s="14"/>
      <c r="Z724" s="16"/>
      <c r="AA724" s="14"/>
      <c r="AB724" s="14"/>
      <c r="AC724" s="14"/>
      <c r="AD724" s="14"/>
      <c r="AE724" s="14"/>
      <c r="AF724" s="14"/>
      <c r="AG724" s="14"/>
      <c r="AH724" s="14"/>
    </row>
    <row r="725">
      <c r="M725" s="59"/>
      <c r="O725" s="60"/>
      <c r="Q725" s="13"/>
      <c r="R725" s="14"/>
      <c r="S725" s="14"/>
      <c r="T725" s="14"/>
      <c r="U725" s="14"/>
      <c r="V725" s="14"/>
      <c r="W725" s="14"/>
      <c r="X725" s="15"/>
      <c r="Y725" s="14"/>
      <c r="Z725" s="16"/>
      <c r="AA725" s="14"/>
      <c r="AB725" s="14"/>
      <c r="AC725" s="14"/>
      <c r="AD725" s="14"/>
      <c r="AE725" s="14"/>
      <c r="AF725" s="14"/>
      <c r="AG725" s="14"/>
      <c r="AH725" s="14"/>
    </row>
    <row r="726">
      <c r="M726" s="59"/>
      <c r="O726" s="60"/>
      <c r="Q726" s="13"/>
      <c r="R726" s="14"/>
      <c r="S726" s="14"/>
      <c r="T726" s="14"/>
      <c r="U726" s="14"/>
      <c r="V726" s="14"/>
      <c r="W726" s="14"/>
      <c r="X726" s="15"/>
      <c r="Y726" s="14"/>
      <c r="Z726" s="16"/>
      <c r="AA726" s="14"/>
      <c r="AB726" s="14"/>
      <c r="AC726" s="14"/>
      <c r="AD726" s="14"/>
      <c r="AE726" s="14"/>
      <c r="AF726" s="14"/>
      <c r="AG726" s="14"/>
      <c r="AH726" s="14"/>
    </row>
    <row r="727">
      <c r="M727" s="59"/>
      <c r="O727" s="60"/>
      <c r="Q727" s="13"/>
      <c r="R727" s="14"/>
      <c r="S727" s="14"/>
      <c r="T727" s="14"/>
      <c r="U727" s="14"/>
      <c r="V727" s="14"/>
      <c r="W727" s="14"/>
      <c r="X727" s="15"/>
      <c r="Y727" s="14"/>
      <c r="Z727" s="16"/>
      <c r="AA727" s="14"/>
      <c r="AB727" s="14"/>
      <c r="AC727" s="14"/>
      <c r="AD727" s="14"/>
      <c r="AE727" s="14"/>
      <c r="AF727" s="14"/>
      <c r="AG727" s="14"/>
      <c r="AH727" s="14"/>
    </row>
    <row r="728">
      <c r="M728" s="59"/>
      <c r="O728" s="60"/>
      <c r="Q728" s="13"/>
      <c r="R728" s="14"/>
      <c r="S728" s="14"/>
      <c r="T728" s="14"/>
      <c r="U728" s="14"/>
      <c r="V728" s="14"/>
      <c r="W728" s="14"/>
      <c r="X728" s="15"/>
      <c r="Y728" s="14"/>
      <c r="Z728" s="16"/>
      <c r="AA728" s="14"/>
      <c r="AB728" s="14"/>
      <c r="AC728" s="14"/>
      <c r="AD728" s="14"/>
      <c r="AE728" s="14"/>
      <c r="AF728" s="14"/>
      <c r="AG728" s="14"/>
      <c r="AH728" s="14"/>
    </row>
    <row r="729">
      <c r="M729" s="59"/>
      <c r="O729" s="60"/>
      <c r="Q729" s="13"/>
      <c r="R729" s="14"/>
      <c r="S729" s="14"/>
      <c r="T729" s="14"/>
      <c r="U729" s="14"/>
      <c r="V729" s="14"/>
      <c r="W729" s="14"/>
      <c r="X729" s="15"/>
      <c r="Y729" s="14"/>
      <c r="Z729" s="16"/>
      <c r="AA729" s="14"/>
      <c r="AB729" s="14"/>
      <c r="AC729" s="14"/>
      <c r="AD729" s="14"/>
      <c r="AE729" s="14"/>
      <c r="AF729" s="14"/>
      <c r="AG729" s="14"/>
      <c r="AH729" s="14"/>
    </row>
    <row r="730">
      <c r="M730" s="59"/>
      <c r="O730" s="60"/>
      <c r="Q730" s="13"/>
      <c r="R730" s="14"/>
      <c r="S730" s="14"/>
      <c r="T730" s="14"/>
      <c r="U730" s="14"/>
      <c r="V730" s="14"/>
      <c r="W730" s="14"/>
      <c r="X730" s="15"/>
      <c r="Y730" s="14"/>
      <c r="Z730" s="16"/>
      <c r="AA730" s="14"/>
      <c r="AB730" s="14"/>
      <c r="AC730" s="14"/>
      <c r="AD730" s="14"/>
      <c r="AE730" s="14"/>
      <c r="AF730" s="14"/>
      <c r="AG730" s="14"/>
      <c r="AH730" s="14"/>
    </row>
    <row r="731">
      <c r="M731" s="59"/>
      <c r="O731" s="60"/>
      <c r="Q731" s="13"/>
      <c r="R731" s="14"/>
      <c r="S731" s="14"/>
      <c r="T731" s="14"/>
      <c r="U731" s="14"/>
      <c r="V731" s="14"/>
      <c r="W731" s="14"/>
      <c r="X731" s="15"/>
      <c r="Y731" s="14"/>
      <c r="Z731" s="16"/>
      <c r="AA731" s="14"/>
      <c r="AB731" s="14"/>
      <c r="AC731" s="14"/>
      <c r="AD731" s="14"/>
      <c r="AE731" s="14"/>
      <c r="AF731" s="14"/>
      <c r="AG731" s="14"/>
      <c r="AH731" s="14"/>
    </row>
    <row r="732">
      <c r="M732" s="59"/>
      <c r="O732" s="60"/>
      <c r="Q732" s="13"/>
      <c r="R732" s="14"/>
      <c r="S732" s="14"/>
      <c r="T732" s="14"/>
      <c r="U732" s="14"/>
      <c r="V732" s="14"/>
      <c r="W732" s="14"/>
      <c r="X732" s="15"/>
      <c r="Y732" s="14"/>
      <c r="Z732" s="16"/>
      <c r="AA732" s="14"/>
      <c r="AB732" s="14"/>
      <c r="AC732" s="14"/>
      <c r="AD732" s="14"/>
      <c r="AE732" s="14"/>
      <c r="AF732" s="14"/>
      <c r="AG732" s="14"/>
      <c r="AH732" s="14"/>
    </row>
    <row r="733">
      <c r="M733" s="59"/>
      <c r="O733" s="60"/>
      <c r="Q733" s="13"/>
      <c r="R733" s="14"/>
      <c r="S733" s="14"/>
      <c r="T733" s="14"/>
      <c r="U733" s="14"/>
      <c r="V733" s="14"/>
      <c r="W733" s="14"/>
      <c r="X733" s="15"/>
      <c r="Y733" s="14"/>
      <c r="Z733" s="16"/>
      <c r="AA733" s="14"/>
      <c r="AB733" s="14"/>
      <c r="AC733" s="14"/>
      <c r="AD733" s="14"/>
      <c r="AE733" s="14"/>
      <c r="AF733" s="14"/>
      <c r="AG733" s="14"/>
      <c r="AH733" s="14"/>
    </row>
    <row r="734">
      <c r="M734" s="59"/>
      <c r="O734" s="60"/>
      <c r="Q734" s="13"/>
      <c r="R734" s="14"/>
      <c r="S734" s="14"/>
      <c r="T734" s="14"/>
      <c r="U734" s="14"/>
      <c r="V734" s="14"/>
      <c r="W734" s="14"/>
      <c r="X734" s="15"/>
      <c r="Y734" s="14"/>
      <c r="Z734" s="16"/>
      <c r="AA734" s="14"/>
      <c r="AB734" s="14"/>
      <c r="AC734" s="14"/>
      <c r="AD734" s="14"/>
      <c r="AE734" s="14"/>
      <c r="AF734" s="14"/>
      <c r="AG734" s="14"/>
      <c r="AH734" s="14"/>
    </row>
    <row r="735">
      <c r="M735" s="59"/>
      <c r="O735" s="60"/>
      <c r="Q735" s="13"/>
      <c r="R735" s="14"/>
      <c r="S735" s="14"/>
      <c r="T735" s="14"/>
      <c r="U735" s="14"/>
      <c r="V735" s="14"/>
      <c r="W735" s="14"/>
      <c r="X735" s="15"/>
      <c r="Y735" s="14"/>
      <c r="Z735" s="16"/>
      <c r="AA735" s="14"/>
      <c r="AB735" s="14"/>
      <c r="AC735" s="14"/>
      <c r="AD735" s="14"/>
      <c r="AE735" s="14"/>
      <c r="AF735" s="14"/>
      <c r="AG735" s="14"/>
      <c r="AH735" s="14"/>
    </row>
    <row r="736">
      <c r="M736" s="59"/>
      <c r="O736" s="60"/>
      <c r="Q736" s="13"/>
      <c r="R736" s="14"/>
      <c r="S736" s="14"/>
      <c r="T736" s="14"/>
      <c r="U736" s="14"/>
      <c r="V736" s="14"/>
      <c r="W736" s="14"/>
      <c r="X736" s="15"/>
      <c r="Y736" s="14"/>
      <c r="Z736" s="16"/>
      <c r="AA736" s="14"/>
      <c r="AB736" s="14"/>
      <c r="AC736" s="14"/>
      <c r="AD736" s="14"/>
      <c r="AE736" s="14"/>
      <c r="AF736" s="14"/>
      <c r="AG736" s="14"/>
      <c r="AH736" s="14"/>
    </row>
    <row r="737">
      <c r="M737" s="59"/>
      <c r="O737" s="60"/>
      <c r="Q737" s="13"/>
      <c r="R737" s="14"/>
      <c r="S737" s="14"/>
      <c r="T737" s="14"/>
      <c r="U737" s="14"/>
      <c r="V737" s="14"/>
      <c r="W737" s="14"/>
      <c r="X737" s="15"/>
      <c r="Y737" s="14"/>
      <c r="Z737" s="16"/>
      <c r="AA737" s="14"/>
      <c r="AB737" s="14"/>
      <c r="AC737" s="14"/>
      <c r="AD737" s="14"/>
      <c r="AE737" s="14"/>
      <c r="AF737" s="14"/>
      <c r="AG737" s="14"/>
      <c r="AH737" s="14"/>
    </row>
    <row r="738">
      <c r="M738" s="59"/>
      <c r="O738" s="60"/>
      <c r="Q738" s="13"/>
      <c r="R738" s="14"/>
      <c r="S738" s="14"/>
      <c r="T738" s="14"/>
      <c r="U738" s="14"/>
      <c r="V738" s="14"/>
      <c r="W738" s="14"/>
      <c r="X738" s="15"/>
      <c r="Y738" s="14"/>
      <c r="Z738" s="16"/>
      <c r="AA738" s="14"/>
      <c r="AB738" s="14"/>
      <c r="AC738" s="14"/>
      <c r="AD738" s="14"/>
      <c r="AE738" s="14"/>
      <c r="AF738" s="14"/>
      <c r="AG738" s="14"/>
      <c r="AH738" s="14"/>
    </row>
    <row r="739">
      <c r="M739" s="59"/>
      <c r="O739" s="60"/>
      <c r="Q739" s="13"/>
      <c r="R739" s="14"/>
      <c r="S739" s="14"/>
      <c r="T739" s="14"/>
      <c r="U739" s="14"/>
      <c r="V739" s="14"/>
      <c r="W739" s="14"/>
      <c r="X739" s="15"/>
      <c r="Y739" s="14"/>
      <c r="Z739" s="16"/>
      <c r="AA739" s="14"/>
      <c r="AB739" s="14"/>
      <c r="AC739" s="14"/>
      <c r="AD739" s="14"/>
      <c r="AE739" s="14"/>
      <c r="AF739" s="14"/>
      <c r="AG739" s="14"/>
      <c r="AH739" s="14"/>
    </row>
    <row r="740">
      <c r="M740" s="59"/>
      <c r="O740" s="60"/>
      <c r="Q740" s="13"/>
      <c r="R740" s="14"/>
      <c r="S740" s="14"/>
      <c r="T740" s="14"/>
      <c r="U740" s="14"/>
      <c r="V740" s="14"/>
      <c r="W740" s="14"/>
      <c r="X740" s="15"/>
      <c r="Y740" s="14"/>
      <c r="Z740" s="16"/>
      <c r="AA740" s="14"/>
      <c r="AB740" s="14"/>
      <c r="AC740" s="14"/>
      <c r="AD740" s="14"/>
      <c r="AE740" s="14"/>
      <c r="AF740" s="14"/>
      <c r="AG740" s="14"/>
      <c r="AH740" s="14"/>
    </row>
    <row r="741">
      <c r="M741" s="59"/>
      <c r="O741" s="60"/>
      <c r="Q741" s="13"/>
      <c r="R741" s="14"/>
      <c r="S741" s="14"/>
      <c r="T741" s="14"/>
      <c r="U741" s="14"/>
      <c r="V741" s="14"/>
      <c r="W741" s="14"/>
      <c r="X741" s="15"/>
      <c r="Y741" s="14"/>
      <c r="Z741" s="16"/>
      <c r="AA741" s="14"/>
      <c r="AB741" s="14"/>
      <c r="AC741" s="14"/>
      <c r="AD741" s="14"/>
      <c r="AE741" s="14"/>
      <c r="AF741" s="14"/>
      <c r="AG741" s="14"/>
      <c r="AH741" s="14"/>
    </row>
    <row r="742">
      <c r="M742" s="59"/>
      <c r="O742" s="60"/>
      <c r="Q742" s="13"/>
      <c r="R742" s="14"/>
      <c r="S742" s="14"/>
      <c r="T742" s="14"/>
      <c r="U742" s="14"/>
      <c r="V742" s="14"/>
      <c r="W742" s="14"/>
      <c r="X742" s="15"/>
      <c r="Y742" s="14"/>
      <c r="Z742" s="16"/>
      <c r="AA742" s="14"/>
      <c r="AB742" s="14"/>
      <c r="AC742" s="14"/>
      <c r="AD742" s="14"/>
      <c r="AE742" s="14"/>
      <c r="AF742" s="14"/>
      <c r="AG742" s="14"/>
      <c r="AH742" s="14"/>
    </row>
    <row r="743">
      <c r="M743" s="59"/>
      <c r="O743" s="60"/>
      <c r="Q743" s="13"/>
      <c r="R743" s="14"/>
      <c r="S743" s="14"/>
      <c r="T743" s="14"/>
      <c r="U743" s="14"/>
      <c r="V743" s="14"/>
      <c r="W743" s="14"/>
      <c r="X743" s="15"/>
      <c r="Y743" s="14"/>
      <c r="Z743" s="16"/>
      <c r="AA743" s="14"/>
      <c r="AB743" s="14"/>
      <c r="AC743" s="14"/>
      <c r="AD743" s="14"/>
      <c r="AE743" s="14"/>
      <c r="AF743" s="14"/>
      <c r="AG743" s="14"/>
      <c r="AH743" s="14"/>
    </row>
    <row r="744">
      <c r="M744" s="59"/>
      <c r="O744" s="60"/>
      <c r="Q744" s="13"/>
      <c r="R744" s="14"/>
      <c r="S744" s="14"/>
      <c r="T744" s="14"/>
      <c r="U744" s="14"/>
      <c r="V744" s="14"/>
      <c r="W744" s="14"/>
      <c r="X744" s="15"/>
      <c r="Y744" s="14"/>
      <c r="Z744" s="16"/>
      <c r="AA744" s="14"/>
      <c r="AB744" s="14"/>
      <c r="AC744" s="14"/>
      <c r="AD744" s="14"/>
      <c r="AE744" s="14"/>
      <c r="AF744" s="14"/>
      <c r="AG744" s="14"/>
      <c r="AH744" s="14"/>
    </row>
    <row r="745">
      <c r="M745" s="59"/>
      <c r="O745" s="60"/>
      <c r="Q745" s="13"/>
      <c r="R745" s="14"/>
      <c r="S745" s="14"/>
      <c r="T745" s="14"/>
      <c r="U745" s="14"/>
      <c r="V745" s="14"/>
      <c r="W745" s="14"/>
      <c r="X745" s="15"/>
      <c r="Y745" s="14"/>
      <c r="Z745" s="16"/>
      <c r="AA745" s="14"/>
      <c r="AB745" s="14"/>
      <c r="AC745" s="14"/>
      <c r="AD745" s="14"/>
      <c r="AE745" s="14"/>
      <c r="AF745" s="14"/>
      <c r="AG745" s="14"/>
      <c r="AH745" s="14"/>
    </row>
    <row r="746">
      <c r="M746" s="59"/>
      <c r="O746" s="60"/>
      <c r="Q746" s="13"/>
      <c r="R746" s="14"/>
      <c r="S746" s="14"/>
      <c r="T746" s="14"/>
      <c r="U746" s="14"/>
      <c r="V746" s="14"/>
      <c r="W746" s="14"/>
      <c r="X746" s="15"/>
      <c r="Y746" s="14"/>
      <c r="Z746" s="16"/>
      <c r="AA746" s="14"/>
      <c r="AB746" s="14"/>
      <c r="AC746" s="14"/>
      <c r="AD746" s="14"/>
      <c r="AE746" s="14"/>
      <c r="AF746" s="14"/>
      <c r="AG746" s="14"/>
      <c r="AH746" s="14"/>
    </row>
    <row r="747">
      <c r="M747" s="59"/>
      <c r="O747" s="60"/>
      <c r="Q747" s="13"/>
      <c r="R747" s="14"/>
      <c r="S747" s="14"/>
      <c r="T747" s="14"/>
      <c r="U747" s="14"/>
      <c r="V747" s="14"/>
      <c r="W747" s="14"/>
      <c r="X747" s="15"/>
      <c r="Y747" s="14"/>
      <c r="Z747" s="16"/>
      <c r="AA747" s="14"/>
      <c r="AB747" s="14"/>
      <c r="AC747" s="14"/>
      <c r="AD747" s="14"/>
      <c r="AE747" s="14"/>
      <c r="AF747" s="14"/>
      <c r="AG747" s="14"/>
      <c r="AH747" s="14"/>
    </row>
    <row r="748">
      <c r="M748" s="59"/>
      <c r="O748" s="60"/>
      <c r="Q748" s="13"/>
      <c r="R748" s="14"/>
      <c r="S748" s="14"/>
      <c r="T748" s="14"/>
      <c r="U748" s="14"/>
      <c r="V748" s="14"/>
      <c r="W748" s="14"/>
      <c r="X748" s="15"/>
      <c r="Y748" s="14"/>
      <c r="Z748" s="16"/>
      <c r="AA748" s="14"/>
      <c r="AB748" s="14"/>
      <c r="AC748" s="14"/>
      <c r="AD748" s="14"/>
      <c r="AE748" s="14"/>
      <c r="AF748" s="14"/>
      <c r="AG748" s="14"/>
      <c r="AH748" s="14"/>
    </row>
    <row r="749">
      <c r="M749" s="59"/>
      <c r="O749" s="60"/>
      <c r="Q749" s="13"/>
      <c r="R749" s="14"/>
      <c r="S749" s="14"/>
      <c r="T749" s="14"/>
      <c r="U749" s="14"/>
      <c r="V749" s="14"/>
      <c r="W749" s="14"/>
      <c r="X749" s="15"/>
      <c r="Y749" s="14"/>
      <c r="Z749" s="16"/>
      <c r="AA749" s="14"/>
      <c r="AB749" s="14"/>
      <c r="AC749" s="14"/>
      <c r="AD749" s="14"/>
      <c r="AE749" s="14"/>
      <c r="AF749" s="14"/>
      <c r="AG749" s="14"/>
      <c r="AH749" s="14"/>
    </row>
    <row r="750">
      <c r="M750" s="59"/>
      <c r="O750" s="60"/>
      <c r="Q750" s="13"/>
      <c r="R750" s="14"/>
      <c r="S750" s="14"/>
      <c r="T750" s="14"/>
      <c r="U750" s="14"/>
      <c r="V750" s="14"/>
      <c r="W750" s="14"/>
      <c r="X750" s="15"/>
      <c r="Y750" s="14"/>
      <c r="Z750" s="16"/>
      <c r="AA750" s="14"/>
      <c r="AB750" s="14"/>
      <c r="AC750" s="14"/>
      <c r="AD750" s="14"/>
      <c r="AE750" s="14"/>
      <c r="AF750" s="14"/>
      <c r="AG750" s="14"/>
      <c r="AH750" s="14"/>
    </row>
    <row r="751">
      <c r="M751" s="59"/>
      <c r="O751" s="60"/>
      <c r="Q751" s="13"/>
      <c r="R751" s="14"/>
      <c r="S751" s="14"/>
      <c r="T751" s="14"/>
      <c r="U751" s="14"/>
      <c r="V751" s="14"/>
      <c r="W751" s="14"/>
      <c r="X751" s="15"/>
      <c r="Y751" s="14"/>
      <c r="Z751" s="16"/>
      <c r="AA751" s="14"/>
      <c r="AB751" s="14"/>
      <c r="AC751" s="14"/>
      <c r="AD751" s="14"/>
      <c r="AE751" s="14"/>
      <c r="AF751" s="14"/>
      <c r="AG751" s="14"/>
      <c r="AH751" s="14"/>
    </row>
    <row r="752">
      <c r="M752" s="59"/>
      <c r="O752" s="60"/>
      <c r="Q752" s="13"/>
      <c r="R752" s="14"/>
      <c r="S752" s="14"/>
      <c r="T752" s="14"/>
      <c r="U752" s="14"/>
      <c r="V752" s="14"/>
      <c r="W752" s="14"/>
      <c r="X752" s="15"/>
      <c r="Y752" s="14"/>
      <c r="Z752" s="16"/>
      <c r="AA752" s="14"/>
      <c r="AB752" s="14"/>
      <c r="AC752" s="14"/>
      <c r="AD752" s="14"/>
      <c r="AE752" s="14"/>
      <c r="AF752" s="14"/>
      <c r="AG752" s="14"/>
      <c r="AH752" s="14"/>
    </row>
    <row r="753">
      <c r="M753" s="59"/>
      <c r="O753" s="60"/>
      <c r="Q753" s="13"/>
      <c r="R753" s="14"/>
      <c r="S753" s="14"/>
      <c r="T753" s="14"/>
      <c r="U753" s="14"/>
      <c r="V753" s="14"/>
      <c r="W753" s="14"/>
      <c r="X753" s="15"/>
      <c r="Y753" s="14"/>
      <c r="Z753" s="16"/>
      <c r="AA753" s="14"/>
      <c r="AB753" s="14"/>
      <c r="AC753" s="14"/>
      <c r="AD753" s="14"/>
      <c r="AE753" s="14"/>
      <c r="AF753" s="14"/>
      <c r="AG753" s="14"/>
      <c r="AH753" s="14"/>
    </row>
    <row r="754">
      <c r="M754" s="59"/>
      <c r="O754" s="60"/>
      <c r="Q754" s="13"/>
      <c r="R754" s="14"/>
      <c r="S754" s="14"/>
      <c r="T754" s="14"/>
      <c r="U754" s="14"/>
      <c r="V754" s="14"/>
      <c r="W754" s="14"/>
      <c r="X754" s="15"/>
      <c r="Y754" s="14"/>
      <c r="Z754" s="16"/>
      <c r="AA754" s="14"/>
      <c r="AB754" s="14"/>
      <c r="AC754" s="14"/>
      <c r="AD754" s="14"/>
      <c r="AE754" s="14"/>
      <c r="AF754" s="14"/>
      <c r="AG754" s="14"/>
      <c r="AH754" s="14"/>
    </row>
    <row r="755">
      <c r="M755" s="59"/>
      <c r="O755" s="60"/>
      <c r="Q755" s="13"/>
      <c r="R755" s="14"/>
      <c r="S755" s="14"/>
      <c r="T755" s="14"/>
      <c r="U755" s="14"/>
      <c r="V755" s="14"/>
      <c r="W755" s="14"/>
      <c r="X755" s="15"/>
      <c r="Y755" s="14"/>
      <c r="Z755" s="16"/>
      <c r="AA755" s="14"/>
      <c r="AB755" s="14"/>
      <c r="AC755" s="14"/>
      <c r="AD755" s="14"/>
      <c r="AE755" s="14"/>
      <c r="AF755" s="14"/>
      <c r="AG755" s="14"/>
      <c r="AH755" s="14"/>
    </row>
    <row r="756">
      <c r="M756" s="59"/>
      <c r="O756" s="60"/>
      <c r="Q756" s="13"/>
      <c r="R756" s="14"/>
      <c r="S756" s="14"/>
      <c r="T756" s="14"/>
      <c r="U756" s="14"/>
      <c r="V756" s="14"/>
      <c r="W756" s="14"/>
      <c r="X756" s="15"/>
      <c r="Y756" s="14"/>
      <c r="Z756" s="16"/>
      <c r="AA756" s="14"/>
      <c r="AB756" s="14"/>
      <c r="AC756" s="14"/>
      <c r="AD756" s="14"/>
      <c r="AE756" s="14"/>
      <c r="AF756" s="14"/>
      <c r="AG756" s="14"/>
      <c r="AH756" s="14"/>
    </row>
    <row r="757">
      <c r="M757" s="59"/>
      <c r="O757" s="60"/>
      <c r="Q757" s="13"/>
      <c r="R757" s="14"/>
      <c r="S757" s="14"/>
      <c r="T757" s="14"/>
      <c r="U757" s="14"/>
      <c r="V757" s="14"/>
      <c r="W757" s="14"/>
      <c r="X757" s="15"/>
      <c r="Y757" s="14"/>
      <c r="Z757" s="16"/>
      <c r="AA757" s="14"/>
      <c r="AB757" s="14"/>
      <c r="AC757" s="14"/>
      <c r="AD757" s="14"/>
      <c r="AE757" s="14"/>
      <c r="AF757" s="14"/>
      <c r="AG757" s="14"/>
      <c r="AH757" s="14"/>
    </row>
    <row r="758">
      <c r="M758" s="59"/>
      <c r="O758" s="60"/>
      <c r="Q758" s="13"/>
      <c r="R758" s="14"/>
      <c r="S758" s="14"/>
      <c r="T758" s="14"/>
      <c r="U758" s="14"/>
      <c r="V758" s="14"/>
      <c r="W758" s="14"/>
      <c r="X758" s="15"/>
      <c r="Y758" s="14"/>
      <c r="Z758" s="16"/>
      <c r="AA758" s="14"/>
      <c r="AB758" s="14"/>
      <c r="AC758" s="14"/>
      <c r="AD758" s="14"/>
      <c r="AE758" s="14"/>
      <c r="AF758" s="14"/>
      <c r="AG758" s="14"/>
      <c r="AH758" s="14"/>
    </row>
    <row r="759">
      <c r="M759" s="59"/>
      <c r="O759" s="60"/>
      <c r="Q759" s="13"/>
      <c r="R759" s="14"/>
      <c r="S759" s="14"/>
      <c r="T759" s="14"/>
      <c r="U759" s="14"/>
      <c r="V759" s="14"/>
      <c r="W759" s="14"/>
      <c r="X759" s="15"/>
      <c r="Y759" s="14"/>
      <c r="Z759" s="16"/>
      <c r="AA759" s="14"/>
      <c r="AB759" s="14"/>
      <c r="AC759" s="14"/>
      <c r="AD759" s="14"/>
      <c r="AE759" s="14"/>
      <c r="AF759" s="14"/>
      <c r="AG759" s="14"/>
      <c r="AH759" s="14"/>
    </row>
    <row r="760">
      <c r="M760" s="59"/>
      <c r="O760" s="60"/>
      <c r="Q760" s="13"/>
      <c r="R760" s="14"/>
      <c r="S760" s="14"/>
      <c r="T760" s="14"/>
      <c r="U760" s="14"/>
      <c r="V760" s="14"/>
      <c r="W760" s="14"/>
      <c r="X760" s="15"/>
      <c r="Y760" s="14"/>
      <c r="Z760" s="16"/>
      <c r="AA760" s="14"/>
      <c r="AB760" s="14"/>
      <c r="AC760" s="14"/>
      <c r="AD760" s="14"/>
      <c r="AE760" s="14"/>
      <c r="AF760" s="14"/>
      <c r="AG760" s="14"/>
      <c r="AH760" s="14"/>
    </row>
    <row r="761">
      <c r="M761" s="59"/>
      <c r="O761" s="60"/>
      <c r="Q761" s="13"/>
      <c r="R761" s="14"/>
      <c r="S761" s="14"/>
      <c r="T761" s="14"/>
      <c r="U761" s="14"/>
      <c r="V761" s="14"/>
      <c r="W761" s="14"/>
      <c r="X761" s="15"/>
      <c r="Y761" s="14"/>
      <c r="Z761" s="16"/>
      <c r="AA761" s="14"/>
      <c r="AB761" s="14"/>
      <c r="AC761" s="14"/>
      <c r="AD761" s="14"/>
      <c r="AE761" s="14"/>
      <c r="AF761" s="14"/>
      <c r="AG761" s="14"/>
      <c r="AH761" s="14"/>
    </row>
    <row r="762">
      <c r="M762" s="59"/>
      <c r="O762" s="60"/>
      <c r="Q762" s="13"/>
      <c r="R762" s="14"/>
      <c r="S762" s="14"/>
      <c r="T762" s="14"/>
      <c r="U762" s="14"/>
      <c r="V762" s="14"/>
      <c r="W762" s="14"/>
      <c r="X762" s="15"/>
      <c r="Y762" s="14"/>
      <c r="Z762" s="16"/>
      <c r="AA762" s="14"/>
      <c r="AB762" s="14"/>
      <c r="AC762" s="14"/>
      <c r="AD762" s="14"/>
      <c r="AE762" s="14"/>
      <c r="AF762" s="14"/>
      <c r="AG762" s="14"/>
      <c r="AH762" s="14"/>
    </row>
    <row r="763">
      <c r="M763" s="59"/>
      <c r="O763" s="60"/>
      <c r="Q763" s="13"/>
      <c r="R763" s="14"/>
      <c r="S763" s="14"/>
      <c r="T763" s="14"/>
      <c r="U763" s="14"/>
      <c r="V763" s="14"/>
      <c r="W763" s="14"/>
      <c r="X763" s="15"/>
      <c r="Y763" s="14"/>
      <c r="Z763" s="16"/>
      <c r="AA763" s="14"/>
      <c r="AB763" s="14"/>
      <c r="AC763" s="14"/>
      <c r="AD763" s="14"/>
      <c r="AE763" s="14"/>
      <c r="AF763" s="14"/>
      <c r="AG763" s="14"/>
      <c r="AH763" s="14"/>
    </row>
    <row r="764">
      <c r="M764" s="59"/>
      <c r="O764" s="60"/>
      <c r="Q764" s="13"/>
      <c r="R764" s="14"/>
      <c r="S764" s="14"/>
      <c r="T764" s="14"/>
      <c r="U764" s="14"/>
      <c r="V764" s="14"/>
      <c r="W764" s="14"/>
      <c r="X764" s="15"/>
      <c r="Y764" s="14"/>
      <c r="Z764" s="16"/>
      <c r="AA764" s="14"/>
      <c r="AB764" s="14"/>
      <c r="AC764" s="14"/>
      <c r="AD764" s="14"/>
      <c r="AE764" s="14"/>
      <c r="AF764" s="14"/>
      <c r="AG764" s="14"/>
      <c r="AH764" s="14"/>
    </row>
    <row r="765">
      <c r="M765" s="59"/>
      <c r="O765" s="60"/>
      <c r="Q765" s="13"/>
      <c r="R765" s="14"/>
      <c r="S765" s="14"/>
      <c r="T765" s="14"/>
      <c r="U765" s="14"/>
      <c r="V765" s="14"/>
      <c r="W765" s="14"/>
      <c r="X765" s="15"/>
      <c r="Y765" s="14"/>
      <c r="Z765" s="16"/>
      <c r="AA765" s="14"/>
      <c r="AB765" s="14"/>
      <c r="AC765" s="14"/>
      <c r="AD765" s="14"/>
      <c r="AE765" s="14"/>
      <c r="AF765" s="14"/>
      <c r="AG765" s="14"/>
      <c r="AH765" s="14"/>
    </row>
    <row r="766">
      <c r="M766" s="59"/>
      <c r="O766" s="60"/>
      <c r="Q766" s="13"/>
      <c r="R766" s="14"/>
      <c r="S766" s="14"/>
      <c r="T766" s="14"/>
      <c r="U766" s="14"/>
      <c r="V766" s="14"/>
      <c r="W766" s="14"/>
      <c r="X766" s="15"/>
      <c r="Y766" s="14"/>
      <c r="Z766" s="16"/>
      <c r="AA766" s="14"/>
      <c r="AB766" s="14"/>
      <c r="AC766" s="14"/>
      <c r="AD766" s="14"/>
      <c r="AE766" s="14"/>
      <c r="AF766" s="14"/>
      <c r="AG766" s="14"/>
      <c r="AH766" s="14"/>
    </row>
    <row r="767">
      <c r="M767" s="59"/>
      <c r="O767" s="60"/>
      <c r="Q767" s="13"/>
      <c r="R767" s="14"/>
      <c r="S767" s="14"/>
      <c r="T767" s="14"/>
      <c r="U767" s="14"/>
      <c r="V767" s="14"/>
      <c r="W767" s="14"/>
      <c r="X767" s="15"/>
      <c r="Y767" s="14"/>
      <c r="Z767" s="16"/>
      <c r="AA767" s="14"/>
      <c r="AB767" s="14"/>
      <c r="AC767" s="14"/>
      <c r="AD767" s="14"/>
      <c r="AE767" s="14"/>
      <c r="AF767" s="14"/>
      <c r="AG767" s="14"/>
      <c r="AH767" s="14"/>
    </row>
    <row r="768">
      <c r="M768" s="59"/>
      <c r="O768" s="60"/>
      <c r="Q768" s="13"/>
      <c r="R768" s="14"/>
      <c r="S768" s="14"/>
      <c r="T768" s="14"/>
      <c r="U768" s="14"/>
      <c r="V768" s="14"/>
      <c r="W768" s="14"/>
      <c r="X768" s="15"/>
      <c r="Y768" s="14"/>
      <c r="Z768" s="16"/>
      <c r="AA768" s="14"/>
      <c r="AB768" s="14"/>
      <c r="AC768" s="14"/>
      <c r="AD768" s="14"/>
      <c r="AE768" s="14"/>
      <c r="AF768" s="14"/>
      <c r="AG768" s="14"/>
      <c r="AH768" s="14"/>
    </row>
    <row r="769">
      <c r="M769" s="59"/>
      <c r="O769" s="60"/>
      <c r="Q769" s="13"/>
      <c r="R769" s="14"/>
      <c r="S769" s="14"/>
      <c r="T769" s="14"/>
      <c r="U769" s="14"/>
      <c r="V769" s="14"/>
      <c r="W769" s="14"/>
      <c r="X769" s="15"/>
      <c r="Y769" s="14"/>
      <c r="Z769" s="16"/>
      <c r="AA769" s="14"/>
      <c r="AB769" s="14"/>
      <c r="AC769" s="14"/>
      <c r="AD769" s="14"/>
      <c r="AE769" s="14"/>
      <c r="AF769" s="14"/>
      <c r="AG769" s="14"/>
      <c r="AH769" s="14"/>
    </row>
    <row r="770">
      <c r="M770" s="59"/>
      <c r="O770" s="60"/>
      <c r="Q770" s="13"/>
      <c r="R770" s="14"/>
      <c r="S770" s="14"/>
      <c r="T770" s="14"/>
      <c r="U770" s="14"/>
      <c r="V770" s="14"/>
      <c r="W770" s="14"/>
      <c r="X770" s="15"/>
      <c r="Y770" s="14"/>
      <c r="Z770" s="16"/>
      <c r="AA770" s="14"/>
      <c r="AB770" s="14"/>
      <c r="AC770" s="14"/>
      <c r="AD770" s="14"/>
      <c r="AE770" s="14"/>
      <c r="AF770" s="14"/>
      <c r="AG770" s="14"/>
      <c r="AH770" s="14"/>
    </row>
    <row r="771">
      <c r="M771" s="59"/>
      <c r="O771" s="60"/>
      <c r="Q771" s="13"/>
      <c r="R771" s="14"/>
      <c r="S771" s="14"/>
      <c r="T771" s="14"/>
      <c r="U771" s="14"/>
      <c r="V771" s="14"/>
      <c r="W771" s="14"/>
      <c r="X771" s="15"/>
      <c r="Y771" s="14"/>
      <c r="Z771" s="16"/>
      <c r="AA771" s="14"/>
      <c r="AB771" s="14"/>
      <c r="AC771" s="14"/>
      <c r="AD771" s="14"/>
      <c r="AE771" s="14"/>
      <c r="AF771" s="14"/>
      <c r="AG771" s="14"/>
      <c r="AH771" s="14"/>
    </row>
    <row r="772">
      <c r="M772" s="59"/>
      <c r="O772" s="60"/>
      <c r="Q772" s="13"/>
      <c r="R772" s="14"/>
      <c r="S772" s="14"/>
      <c r="T772" s="14"/>
      <c r="U772" s="14"/>
      <c r="V772" s="14"/>
      <c r="W772" s="14"/>
      <c r="X772" s="15"/>
      <c r="Y772" s="14"/>
      <c r="Z772" s="16"/>
      <c r="AA772" s="14"/>
      <c r="AB772" s="14"/>
      <c r="AC772" s="14"/>
      <c r="AD772" s="14"/>
      <c r="AE772" s="14"/>
      <c r="AF772" s="14"/>
      <c r="AG772" s="14"/>
      <c r="AH772" s="14"/>
    </row>
    <row r="773">
      <c r="M773" s="59"/>
      <c r="O773" s="60"/>
      <c r="Q773" s="13"/>
      <c r="R773" s="14"/>
      <c r="S773" s="14"/>
      <c r="T773" s="14"/>
      <c r="U773" s="14"/>
      <c r="V773" s="14"/>
      <c r="W773" s="14"/>
      <c r="X773" s="15"/>
      <c r="Y773" s="14"/>
      <c r="Z773" s="16"/>
      <c r="AA773" s="14"/>
      <c r="AB773" s="14"/>
      <c r="AC773" s="14"/>
      <c r="AD773" s="14"/>
      <c r="AE773" s="14"/>
      <c r="AF773" s="14"/>
      <c r="AG773" s="14"/>
      <c r="AH773" s="14"/>
    </row>
    <row r="774">
      <c r="M774" s="59"/>
      <c r="O774" s="60"/>
      <c r="Q774" s="13"/>
      <c r="R774" s="14"/>
      <c r="S774" s="14"/>
      <c r="T774" s="14"/>
      <c r="U774" s="14"/>
      <c r="V774" s="14"/>
      <c r="W774" s="14"/>
      <c r="X774" s="15"/>
      <c r="Y774" s="14"/>
      <c r="Z774" s="16"/>
      <c r="AA774" s="14"/>
      <c r="AB774" s="14"/>
      <c r="AC774" s="14"/>
      <c r="AD774" s="14"/>
      <c r="AE774" s="14"/>
      <c r="AF774" s="14"/>
      <c r="AG774" s="14"/>
      <c r="AH774" s="14"/>
    </row>
    <row r="775">
      <c r="M775" s="59"/>
      <c r="O775" s="60"/>
      <c r="Q775" s="13"/>
      <c r="R775" s="14"/>
      <c r="S775" s="14"/>
      <c r="T775" s="14"/>
      <c r="U775" s="14"/>
      <c r="V775" s="14"/>
      <c r="W775" s="14"/>
      <c r="X775" s="15"/>
      <c r="Y775" s="14"/>
      <c r="Z775" s="16"/>
      <c r="AA775" s="14"/>
      <c r="AB775" s="14"/>
      <c r="AC775" s="14"/>
      <c r="AD775" s="14"/>
      <c r="AE775" s="14"/>
      <c r="AF775" s="14"/>
      <c r="AG775" s="14"/>
      <c r="AH775" s="14"/>
    </row>
    <row r="776">
      <c r="M776" s="59"/>
      <c r="O776" s="60"/>
      <c r="Q776" s="13"/>
      <c r="R776" s="14"/>
      <c r="S776" s="14"/>
      <c r="T776" s="14"/>
      <c r="U776" s="14"/>
      <c r="V776" s="14"/>
      <c r="W776" s="14"/>
      <c r="X776" s="15"/>
      <c r="Y776" s="14"/>
      <c r="Z776" s="16"/>
      <c r="AA776" s="14"/>
      <c r="AB776" s="14"/>
      <c r="AC776" s="14"/>
      <c r="AD776" s="14"/>
      <c r="AE776" s="14"/>
      <c r="AF776" s="14"/>
      <c r="AG776" s="14"/>
      <c r="AH776" s="14"/>
    </row>
    <row r="777">
      <c r="M777" s="59"/>
      <c r="O777" s="60"/>
      <c r="Q777" s="13"/>
      <c r="R777" s="14"/>
      <c r="S777" s="14"/>
      <c r="T777" s="14"/>
      <c r="U777" s="14"/>
      <c r="V777" s="14"/>
      <c r="W777" s="14"/>
      <c r="X777" s="15"/>
      <c r="Y777" s="14"/>
      <c r="Z777" s="16"/>
      <c r="AA777" s="14"/>
      <c r="AB777" s="14"/>
      <c r="AC777" s="14"/>
      <c r="AD777" s="14"/>
      <c r="AE777" s="14"/>
      <c r="AF777" s="14"/>
      <c r="AG777" s="14"/>
      <c r="AH777" s="14"/>
    </row>
    <row r="778">
      <c r="M778" s="59"/>
      <c r="O778" s="60"/>
      <c r="Q778" s="13"/>
      <c r="R778" s="14"/>
      <c r="S778" s="14"/>
      <c r="T778" s="14"/>
      <c r="U778" s="14"/>
      <c r="V778" s="14"/>
      <c r="W778" s="14"/>
      <c r="X778" s="15"/>
      <c r="Y778" s="14"/>
      <c r="Z778" s="16"/>
      <c r="AA778" s="14"/>
      <c r="AB778" s="14"/>
      <c r="AC778" s="14"/>
      <c r="AD778" s="14"/>
      <c r="AE778" s="14"/>
      <c r="AF778" s="14"/>
      <c r="AG778" s="14"/>
      <c r="AH778" s="14"/>
    </row>
    <row r="779">
      <c r="M779" s="59"/>
      <c r="O779" s="60"/>
      <c r="Q779" s="13"/>
      <c r="R779" s="14"/>
      <c r="S779" s="14"/>
      <c r="T779" s="14"/>
      <c r="U779" s="14"/>
      <c r="V779" s="14"/>
      <c r="W779" s="14"/>
      <c r="X779" s="15"/>
      <c r="Y779" s="14"/>
      <c r="Z779" s="16"/>
      <c r="AA779" s="14"/>
      <c r="AB779" s="14"/>
      <c r="AC779" s="14"/>
      <c r="AD779" s="14"/>
      <c r="AE779" s="14"/>
      <c r="AF779" s="14"/>
      <c r="AG779" s="14"/>
      <c r="AH779" s="14"/>
    </row>
    <row r="780">
      <c r="M780" s="59"/>
      <c r="O780" s="60"/>
      <c r="Q780" s="13"/>
      <c r="R780" s="14"/>
      <c r="S780" s="14"/>
      <c r="T780" s="14"/>
      <c r="U780" s="14"/>
      <c r="V780" s="14"/>
      <c r="W780" s="14"/>
      <c r="X780" s="15"/>
      <c r="Y780" s="14"/>
      <c r="Z780" s="16"/>
      <c r="AA780" s="14"/>
      <c r="AB780" s="14"/>
      <c r="AC780" s="14"/>
      <c r="AD780" s="14"/>
      <c r="AE780" s="14"/>
      <c r="AF780" s="14"/>
      <c r="AG780" s="14"/>
      <c r="AH780" s="14"/>
    </row>
    <row r="781">
      <c r="M781" s="59"/>
      <c r="O781" s="60"/>
      <c r="Q781" s="13"/>
      <c r="R781" s="14"/>
      <c r="S781" s="14"/>
      <c r="T781" s="14"/>
      <c r="U781" s="14"/>
      <c r="V781" s="14"/>
      <c r="W781" s="14"/>
      <c r="X781" s="15"/>
      <c r="Y781" s="14"/>
      <c r="Z781" s="16"/>
      <c r="AA781" s="14"/>
      <c r="AB781" s="14"/>
      <c r="AC781" s="14"/>
      <c r="AD781" s="14"/>
      <c r="AE781" s="14"/>
      <c r="AF781" s="14"/>
      <c r="AG781" s="14"/>
      <c r="AH781" s="14"/>
    </row>
    <row r="782">
      <c r="M782" s="59"/>
      <c r="O782" s="60"/>
      <c r="Q782" s="13"/>
      <c r="R782" s="14"/>
      <c r="S782" s="14"/>
      <c r="T782" s="14"/>
      <c r="U782" s="14"/>
      <c r="V782" s="14"/>
      <c r="W782" s="14"/>
      <c r="X782" s="15"/>
      <c r="Y782" s="14"/>
      <c r="Z782" s="16"/>
      <c r="AA782" s="14"/>
      <c r="AB782" s="14"/>
      <c r="AC782" s="14"/>
      <c r="AD782" s="14"/>
      <c r="AE782" s="14"/>
      <c r="AF782" s="14"/>
      <c r="AG782" s="14"/>
      <c r="AH782" s="14"/>
    </row>
    <row r="783">
      <c r="M783" s="59"/>
      <c r="O783" s="60"/>
      <c r="Q783" s="13"/>
      <c r="R783" s="14"/>
      <c r="S783" s="14"/>
      <c r="T783" s="14"/>
      <c r="U783" s="14"/>
      <c r="V783" s="14"/>
      <c r="W783" s="14"/>
      <c r="X783" s="15"/>
      <c r="Y783" s="14"/>
      <c r="Z783" s="16"/>
      <c r="AA783" s="14"/>
      <c r="AB783" s="14"/>
      <c r="AC783" s="14"/>
      <c r="AD783" s="14"/>
      <c r="AE783" s="14"/>
      <c r="AF783" s="14"/>
      <c r="AG783" s="14"/>
      <c r="AH783" s="14"/>
    </row>
    <row r="784">
      <c r="M784" s="59"/>
      <c r="O784" s="60"/>
      <c r="Q784" s="13"/>
      <c r="R784" s="14"/>
      <c r="S784" s="14"/>
      <c r="T784" s="14"/>
      <c r="U784" s="14"/>
      <c r="V784" s="14"/>
      <c r="W784" s="14"/>
      <c r="X784" s="15"/>
      <c r="Y784" s="14"/>
      <c r="Z784" s="16"/>
      <c r="AA784" s="14"/>
      <c r="AB784" s="14"/>
      <c r="AC784" s="14"/>
      <c r="AD784" s="14"/>
      <c r="AE784" s="14"/>
      <c r="AF784" s="14"/>
      <c r="AG784" s="14"/>
      <c r="AH784" s="14"/>
    </row>
    <row r="785">
      <c r="M785" s="59"/>
      <c r="O785" s="60"/>
      <c r="Q785" s="13"/>
      <c r="R785" s="14"/>
      <c r="S785" s="14"/>
      <c r="T785" s="14"/>
      <c r="U785" s="14"/>
      <c r="V785" s="14"/>
      <c r="W785" s="14"/>
      <c r="X785" s="15"/>
      <c r="Y785" s="14"/>
      <c r="Z785" s="16"/>
      <c r="AA785" s="14"/>
      <c r="AB785" s="14"/>
      <c r="AC785" s="14"/>
      <c r="AD785" s="14"/>
      <c r="AE785" s="14"/>
      <c r="AF785" s="14"/>
      <c r="AG785" s="14"/>
      <c r="AH785" s="14"/>
    </row>
    <row r="786">
      <c r="M786" s="59"/>
      <c r="O786" s="60"/>
      <c r="Q786" s="13"/>
      <c r="R786" s="14"/>
      <c r="S786" s="14"/>
      <c r="T786" s="14"/>
      <c r="U786" s="14"/>
      <c r="V786" s="14"/>
      <c r="W786" s="14"/>
      <c r="X786" s="15"/>
      <c r="Y786" s="14"/>
      <c r="Z786" s="16"/>
      <c r="AA786" s="14"/>
      <c r="AB786" s="14"/>
      <c r="AC786" s="14"/>
      <c r="AD786" s="14"/>
      <c r="AE786" s="14"/>
      <c r="AF786" s="14"/>
      <c r="AG786" s="14"/>
      <c r="AH786" s="14"/>
    </row>
    <row r="787">
      <c r="M787" s="59"/>
      <c r="O787" s="60"/>
      <c r="Q787" s="13"/>
      <c r="R787" s="14"/>
      <c r="S787" s="14"/>
      <c r="T787" s="14"/>
      <c r="U787" s="14"/>
      <c r="V787" s="14"/>
      <c r="W787" s="14"/>
      <c r="X787" s="15"/>
      <c r="Y787" s="14"/>
      <c r="Z787" s="16"/>
      <c r="AA787" s="14"/>
      <c r="AB787" s="14"/>
      <c r="AC787" s="14"/>
      <c r="AD787" s="14"/>
      <c r="AE787" s="14"/>
      <c r="AF787" s="14"/>
      <c r="AG787" s="14"/>
      <c r="AH787" s="14"/>
    </row>
    <row r="788">
      <c r="M788" s="59"/>
      <c r="O788" s="60"/>
      <c r="Q788" s="13"/>
      <c r="R788" s="14"/>
      <c r="S788" s="14"/>
      <c r="T788" s="14"/>
      <c r="U788" s="14"/>
      <c r="V788" s="14"/>
      <c r="W788" s="14"/>
      <c r="X788" s="15"/>
      <c r="Y788" s="14"/>
      <c r="Z788" s="16"/>
      <c r="AA788" s="14"/>
      <c r="AB788" s="14"/>
      <c r="AC788" s="14"/>
      <c r="AD788" s="14"/>
      <c r="AE788" s="14"/>
      <c r="AF788" s="14"/>
      <c r="AG788" s="14"/>
      <c r="AH788" s="14"/>
    </row>
    <row r="789">
      <c r="M789" s="59"/>
      <c r="O789" s="60"/>
      <c r="Q789" s="13"/>
      <c r="R789" s="14"/>
      <c r="S789" s="14"/>
      <c r="T789" s="14"/>
      <c r="U789" s="14"/>
      <c r="V789" s="14"/>
      <c r="W789" s="14"/>
      <c r="X789" s="15"/>
      <c r="Y789" s="14"/>
      <c r="Z789" s="16"/>
      <c r="AA789" s="14"/>
      <c r="AB789" s="14"/>
      <c r="AC789" s="14"/>
      <c r="AD789" s="14"/>
      <c r="AE789" s="14"/>
      <c r="AF789" s="14"/>
      <c r="AG789" s="14"/>
      <c r="AH789" s="14"/>
    </row>
    <row r="790">
      <c r="M790" s="59"/>
      <c r="O790" s="60"/>
      <c r="Q790" s="13"/>
      <c r="R790" s="14"/>
      <c r="S790" s="14"/>
      <c r="T790" s="14"/>
      <c r="U790" s="14"/>
      <c r="V790" s="14"/>
      <c r="W790" s="14"/>
      <c r="X790" s="15"/>
      <c r="Y790" s="14"/>
      <c r="Z790" s="16"/>
      <c r="AA790" s="14"/>
      <c r="AB790" s="14"/>
      <c r="AC790" s="14"/>
      <c r="AD790" s="14"/>
      <c r="AE790" s="14"/>
      <c r="AF790" s="14"/>
      <c r="AG790" s="14"/>
      <c r="AH790" s="14"/>
    </row>
    <row r="791">
      <c r="M791" s="59"/>
      <c r="O791" s="60"/>
      <c r="Q791" s="13"/>
      <c r="R791" s="14"/>
      <c r="S791" s="14"/>
      <c r="T791" s="14"/>
      <c r="U791" s="14"/>
      <c r="V791" s="14"/>
      <c r="W791" s="14"/>
      <c r="X791" s="15"/>
      <c r="Y791" s="14"/>
      <c r="Z791" s="16"/>
      <c r="AA791" s="14"/>
      <c r="AB791" s="14"/>
      <c r="AC791" s="14"/>
      <c r="AD791" s="14"/>
      <c r="AE791" s="14"/>
      <c r="AF791" s="14"/>
      <c r="AG791" s="14"/>
      <c r="AH791" s="14"/>
    </row>
    <row r="792">
      <c r="M792" s="59"/>
      <c r="O792" s="60"/>
      <c r="Q792" s="13"/>
      <c r="R792" s="14"/>
      <c r="S792" s="14"/>
      <c r="T792" s="14"/>
      <c r="U792" s="14"/>
      <c r="V792" s="14"/>
      <c r="W792" s="14"/>
      <c r="X792" s="15"/>
      <c r="Y792" s="14"/>
      <c r="Z792" s="16"/>
      <c r="AA792" s="14"/>
      <c r="AB792" s="14"/>
      <c r="AC792" s="14"/>
      <c r="AD792" s="14"/>
      <c r="AE792" s="14"/>
      <c r="AF792" s="14"/>
      <c r="AG792" s="14"/>
      <c r="AH792" s="14"/>
    </row>
    <row r="793">
      <c r="M793" s="59"/>
      <c r="O793" s="60"/>
      <c r="Q793" s="13"/>
      <c r="R793" s="14"/>
      <c r="S793" s="14"/>
      <c r="T793" s="14"/>
      <c r="U793" s="14"/>
      <c r="V793" s="14"/>
      <c r="W793" s="14"/>
      <c r="X793" s="15"/>
      <c r="Y793" s="14"/>
      <c r="Z793" s="16"/>
      <c r="AA793" s="14"/>
      <c r="AB793" s="14"/>
      <c r="AC793" s="14"/>
      <c r="AD793" s="14"/>
      <c r="AE793" s="14"/>
      <c r="AF793" s="14"/>
      <c r="AG793" s="14"/>
      <c r="AH793" s="14"/>
    </row>
    <row r="794">
      <c r="M794" s="59"/>
      <c r="O794" s="60"/>
      <c r="Q794" s="13"/>
      <c r="R794" s="14"/>
      <c r="S794" s="14"/>
      <c r="T794" s="14"/>
      <c r="U794" s="14"/>
      <c r="V794" s="14"/>
      <c r="W794" s="14"/>
      <c r="X794" s="15"/>
      <c r="Y794" s="14"/>
      <c r="Z794" s="16"/>
      <c r="AA794" s="14"/>
      <c r="AB794" s="14"/>
      <c r="AC794" s="14"/>
      <c r="AD794" s="14"/>
      <c r="AE794" s="14"/>
      <c r="AF794" s="14"/>
      <c r="AG794" s="14"/>
      <c r="AH794" s="14"/>
    </row>
    <row r="795">
      <c r="M795" s="59"/>
      <c r="O795" s="60"/>
      <c r="Q795" s="13"/>
      <c r="R795" s="14"/>
      <c r="S795" s="14"/>
      <c r="T795" s="14"/>
      <c r="U795" s="14"/>
      <c r="V795" s="14"/>
      <c r="W795" s="14"/>
      <c r="X795" s="15"/>
      <c r="Y795" s="14"/>
      <c r="Z795" s="16"/>
      <c r="AA795" s="14"/>
      <c r="AB795" s="14"/>
      <c r="AC795" s="14"/>
      <c r="AD795" s="14"/>
      <c r="AE795" s="14"/>
      <c r="AF795" s="14"/>
      <c r="AG795" s="14"/>
      <c r="AH795" s="14"/>
    </row>
    <row r="796">
      <c r="M796" s="59"/>
      <c r="O796" s="60"/>
      <c r="Q796" s="13"/>
      <c r="R796" s="14"/>
      <c r="S796" s="14"/>
      <c r="T796" s="14"/>
      <c r="U796" s="14"/>
      <c r="V796" s="14"/>
      <c r="W796" s="14"/>
      <c r="X796" s="15"/>
      <c r="Y796" s="14"/>
      <c r="Z796" s="16"/>
      <c r="AA796" s="14"/>
      <c r="AB796" s="14"/>
      <c r="AC796" s="14"/>
      <c r="AD796" s="14"/>
      <c r="AE796" s="14"/>
      <c r="AF796" s="14"/>
      <c r="AG796" s="14"/>
      <c r="AH796" s="14"/>
    </row>
    <row r="797">
      <c r="M797" s="59"/>
      <c r="O797" s="60"/>
      <c r="Q797" s="13"/>
      <c r="R797" s="14"/>
      <c r="S797" s="14"/>
      <c r="T797" s="14"/>
      <c r="U797" s="14"/>
      <c r="V797" s="14"/>
      <c r="W797" s="14"/>
      <c r="X797" s="15"/>
      <c r="Y797" s="14"/>
      <c r="Z797" s="16"/>
      <c r="AA797" s="14"/>
      <c r="AB797" s="14"/>
      <c r="AC797" s="14"/>
      <c r="AD797" s="14"/>
      <c r="AE797" s="14"/>
      <c r="AF797" s="14"/>
      <c r="AG797" s="14"/>
      <c r="AH797" s="14"/>
    </row>
    <row r="798">
      <c r="M798" s="59"/>
      <c r="O798" s="60"/>
      <c r="Q798" s="13"/>
      <c r="R798" s="14"/>
      <c r="S798" s="14"/>
      <c r="T798" s="14"/>
      <c r="U798" s="14"/>
      <c r="V798" s="14"/>
      <c r="W798" s="14"/>
      <c r="X798" s="15"/>
      <c r="Y798" s="14"/>
      <c r="Z798" s="16"/>
      <c r="AA798" s="14"/>
      <c r="AB798" s="14"/>
      <c r="AC798" s="14"/>
      <c r="AD798" s="14"/>
      <c r="AE798" s="14"/>
      <c r="AF798" s="14"/>
      <c r="AG798" s="14"/>
      <c r="AH798" s="14"/>
    </row>
    <row r="799">
      <c r="M799" s="59"/>
      <c r="O799" s="60"/>
      <c r="Q799" s="13"/>
      <c r="R799" s="14"/>
      <c r="S799" s="14"/>
      <c r="T799" s="14"/>
      <c r="U799" s="14"/>
      <c r="V799" s="14"/>
      <c r="W799" s="14"/>
      <c r="X799" s="15"/>
      <c r="Y799" s="14"/>
      <c r="Z799" s="16"/>
      <c r="AA799" s="14"/>
      <c r="AB799" s="14"/>
      <c r="AC799" s="14"/>
      <c r="AD799" s="14"/>
      <c r="AE799" s="14"/>
      <c r="AF799" s="14"/>
      <c r="AG799" s="14"/>
      <c r="AH799" s="14"/>
    </row>
    <row r="800">
      <c r="M800" s="59"/>
      <c r="O800" s="60"/>
      <c r="Q800" s="13"/>
      <c r="R800" s="14"/>
      <c r="S800" s="14"/>
      <c r="T800" s="14"/>
      <c r="U800" s="14"/>
      <c r="V800" s="14"/>
      <c r="W800" s="14"/>
      <c r="X800" s="15"/>
      <c r="Y800" s="14"/>
      <c r="Z800" s="16"/>
      <c r="AA800" s="14"/>
      <c r="AB800" s="14"/>
      <c r="AC800" s="14"/>
      <c r="AD800" s="14"/>
      <c r="AE800" s="14"/>
      <c r="AF800" s="14"/>
      <c r="AG800" s="14"/>
      <c r="AH800" s="14"/>
    </row>
    <row r="801">
      <c r="M801" s="59"/>
      <c r="O801" s="60"/>
      <c r="Q801" s="13"/>
      <c r="R801" s="14"/>
      <c r="S801" s="14"/>
      <c r="T801" s="14"/>
      <c r="U801" s="14"/>
      <c r="V801" s="14"/>
      <c r="W801" s="14"/>
      <c r="X801" s="15"/>
      <c r="Y801" s="14"/>
      <c r="Z801" s="16"/>
      <c r="AA801" s="14"/>
      <c r="AB801" s="14"/>
      <c r="AC801" s="14"/>
      <c r="AD801" s="14"/>
      <c r="AE801" s="14"/>
      <c r="AF801" s="14"/>
      <c r="AG801" s="14"/>
      <c r="AH801" s="14"/>
    </row>
    <row r="802">
      <c r="M802" s="59"/>
      <c r="O802" s="60"/>
      <c r="Q802" s="13"/>
      <c r="R802" s="14"/>
      <c r="S802" s="14"/>
      <c r="T802" s="14"/>
      <c r="U802" s="14"/>
      <c r="V802" s="14"/>
      <c r="W802" s="14"/>
      <c r="X802" s="15"/>
      <c r="Y802" s="14"/>
      <c r="Z802" s="16"/>
      <c r="AA802" s="14"/>
      <c r="AB802" s="14"/>
      <c r="AC802" s="14"/>
      <c r="AD802" s="14"/>
      <c r="AE802" s="14"/>
      <c r="AF802" s="14"/>
      <c r="AG802" s="14"/>
      <c r="AH802" s="14"/>
    </row>
    <row r="803">
      <c r="M803" s="59"/>
      <c r="O803" s="60"/>
      <c r="Q803" s="13"/>
      <c r="R803" s="14"/>
      <c r="S803" s="14"/>
      <c r="T803" s="14"/>
      <c r="U803" s="14"/>
      <c r="V803" s="14"/>
      <c r="W803" s="14"/>
      <c r="X803" s="15"/>
      <c r="Y803" s="14"/>
      <c r="Z803" s="16"/>
      <c r="AA803" s="14"/>
      <c r="AB803" s="14"/>
      <c r="AC803" s="14"/>
      <c r="AD803" s="14"/>
      <c r="AE803" s="14"/>
      <c r="AF803" s="14"/>
      <c r="AG803" s="14"/>
      <c r="AH803" s="14"/>
    </row>
    <row r="804">
      <c r="M804" s="59"/>
      <c r="O804" s="60"/>
      <c r="Q804" s="13"/>
      <c r="R804" s="14"/>
      <c r="S804" s="14"/>
      <c r="T804" s="14"/>
      <c r="U804" s="14"/>
      <c r="V804" s="14"/>
      <c r="W804" s="14"/>
      <c r="X804" s="15"/>
      <c r="Y804" s="14"/>
      <c r="Z804" s="16"/>
      <c r="AA804" s="14"/>
      <c r="AB804" s="14"/>
      <c r="AC804" s="14"/>
      <c r="AD804" s="14"/>
      <c r="AE804" s="14"/>
      <c r="AF804" s="14"/>
      <c r="AG804" s="14"/>
      <c r="AH804" s="14"/>
    </row>
    <row r="805">
      <c r="M805" s="59"/>
      <c r="O805" s="60"/>
      <c r="Q805" s="13"/>
      <c r="R805" s="14"/>
      <c r="S805" s="14"/>
      <c r="T805" s="14"/>
      <c r="U805" s="14"/>
      <c r="V805" s="14"/>
      <c r="W805" s="14"/>
      <c r="X805" s="15"/>
      <c r="Y805" s="14"/>
      <c r="Z805" s="16"/>
      <c r="AA805" s="14"/>
      <c r="AB805" s="14"/>
      <c r="AC805" s="14"/>
      <c r="AD805" s="14"/>
      <c r="AE805" s="14"/>
      <c r="AF805" s="14"/>
      <c r="AG805" s="14"/>
      <c r="AH805" s="14"/>
    </row>
    <row r="806">
      <c r="M806" s="59"/>
      <c r="O806" s="60"/>
      <c r="Q806" s="13"/>
      <c r="R806" s="14"/>
      <c r="S806" s="14"/>
      <c r="T806" s="14"/>
      <c r="U806" s="14"/>
      <c r="V806" s="14"/>
      <c r="W806" s="14"/>
      <c r="X806" s="15"/>
      <c r="Y806" s="14"/>
      <c r="Z806" s="16"/>
      <c r="AA806" s="14"/>
      <c r="AB806" s="14"/>
      <c r="AC806" s="14"/>
      <c r="AD806" s="14"/>
      <c r="AE806" s="14"/>
      <c r="AF806" s="14"/>
      <c r="AG806" s="14"/>
      <c r="AH806" s="14"/>
    </row>
    <row r="807">
      <c r="M807" s="59"/>
      <c r="O807" s="60"/>
      <c r="Q807" s="13"/>
      <c r="R807" s="14"/>
      <c r="S807" s="14"/>
      <c r="T807" s="14"/>
      <c r="U807" s="14"/>
      <c r="V807" s="14"/>
      <c r="W807" s="14"/>
      <c r="X807" s="15"/>
      <c r="Y807" s="14"/>
      <c r="Z807" s="16"/>
      <c r="AA807" s="14"/>
      <c r="AB807" s="14"/>
      <c r="AC807" s="14"/>
      <c r="AD807" s="14"/>
      <c r="AE807" s="14"/>
      <c r="AF807" s="14"/>
      <c r="AG807" s="14"/>
      <c r="AH807" s="14"/>
    </row>
    <row r="808">
      <c r="M808" s="59"/>
      <c r="O808" s="60"/>
      <c r="Q808" s="13"/>
      <c r="R808" s="14"/>
      <c r="S808" s="14"/>
      <c r="T808" s="14"/>
      <c r="U808" s="14"/>
      <c r="V808" s="14"/>
      <c r="W808" s="14"/>
      <c r="X808" s="15"/>
      <c r="Y808" s="14"/>
      <c r="Z808" s="16"/>
      <c r="AA808" s="14"/>
      <c r="AB808" s="14"/>
      <c r="AC808" s="14"/>
      <c r="AD808" s="14"/>
      <c r="AE808" s="14"/>
      <c r="AF808" s="14"/>
      <c r="AG808" s="14"/>
      <c r="AH808" s="14"/>
    </row>
    <row r="809">
      <c r="M809" s="59"/>
      <c r="O809" s="60"/>
      <c r="Q809" s="13"/>
      <c r="R809" s="14"/>
      <c r="S809" s="14"/>
      <c r="T809" s="14"/>
      <c r="U809" s="14"/>
      <c r="V809" s="14"/>
      <c r="W809" s="14"/>
      <c r="X809" s="15"/>
      <c r="Y809" s="14"/>
      <c r="Z809" s="16"/>
      <c r="AA809" s="14"/>
      <c r="AB809" s="14"/>
      <c r="AC809" s="14"/>
      <c r="AD809" s="14"/>
      <c r="AE809" s="14"/>
      <c r="AF809" s="14"/>
      <c r="AG809" s="14"/>
      <c r="AH809" s="14"/>
    </row>
    <row r="810">
      <c r="M810" s="59"/>
      <c r="O810" s="60"/>
      <c r="Q810" s="13"/>
      <c r="R810" s="14"/>
      <c r="S810" s="14"/>
      <c r="T810" s="14"/>
      <c r="U810" s="14"/>
      <c r="V810" s="14"/>
      <c r="W810" s="14"/>
      <c r="X810" s="15"/>
      <c r="Y810" s="14"/>
      <c r="Z810" s="16"/>
      <c r="AA810" s="14"/>
      <c r="AB810" s="14"/>
      <c r="AC810" s="14"/>
      <c r="AD810" s="14"/>
      <c r="AE810" s="14"/>
      <c r="AF810" s="14"/>
      <c r="AG810" s="14"/>
      <c r="AH810" s="14"/>
    </row>
    <row r="811">
      <c r="M811" s="59"/>
      <c r="O811" s="60"/>
      <c r="Q811" s="13"/>
      <c r="R811" s="14"/>
      <c r="S811" s="14"/>
      <c r="T811" s="14"/>
      <c r="U811" s="14"/>
      <c r="V811" s="14"/>
      <c r="W811" s="14"/>
      <c r="X811" s="15"/>
      <c r="Y811" s="14"/>
      <c r="Z811" s="16"/>
      <c r="AA811" s="14"/>
      <c r="AB811" s="14"/>
      <c r="AC811" s="14"/>
      <c r="AD811" s="14"/>
      <c r="AE811" s="14"/>
      <c r="AF811" s="14"/>
      <c r="AG811" s="14"/>
      <c r="AH811" s="14"/>
    </row>
    <row r="812">
      <c r="M812" s="59"/>
      <c r="O812" s="60"/>
      <c r="Q812" s="13"/>
      <c r="R812" s="14"/>
      <c r="S812" s="14"/>
      <c r="T812" s="14"/>
      <c r="U812" s="14"/>
      <c r="V812" s="14"/>
      <c r="W812" s="14"/>
      <c r="X812" s="15"/>
      <c r="Y812" s="14"/>
      <c r="Z812" s="16"/>
      <c r="AA812" s="14"/>
      <c r="AB812" s="14"/>
      <c r="AC812" s="14"/>
      <c r="AD812" s="14"/>
      <c r="AE812" s="14"/>
      <c r="AF812" s="14"/>
      <c r="AG812" s="14"/>
      <c r="AH812" s="14"/>
    </row>
    <row r="813">
      <c r="M813" s="59"/>
      <c r="O813" s="60"/>
      <c r="Q813" s="13"/>
      <c r="R813" s="14"/>
      <c r="S813" s="14"/>
      <c r="T813" s="14"/>
      <c r="U813" s="14"/>
      <c r="V813" s="14"/>
      <c r="W813" s="14"/>
      <c r="X813" s="15"/>
      <c r="Y813" s="14"/>
      <c r="Z813" s="16"/>
      <c r="AA813" s="14"/>
      <c r="AB813" s="14"/>
      <c r="AC813" s="14"/>
      <c r="AD813" s="14"/>
      <c r="AE813" s="14"/>
      <c r="AF813" s="14"/>
      <c r="AG813" s="14"/>
      <c r="AH813" s="14"/>
    </row>
    <row r="814">
      <c r="M814" s="59"/>
      <c r="O814" s="60"/>
      <c r="Q814" s="13"/>
      <c r="R814" s="14"/>
      <c r="S814" s="14"/>
      <c r="T814" s="14"/>
      <c r="U814" s="14"/>
      <c r="V814" s="14"/>
      <c r="W814" s="14"/>
      <c r="X814" s="15"/>
      <c r="Y814" s="14"/>
      <c r="Z814" s="16"/>
      <c r="AA814" s="14"/>
      <c r="AB814" s="14"/>
      <c r="AC814" s="14"/>
      <c r="AD814" s="14"/>
      <c r="AE814" s="14"/>
      <c r="AF814" s="14"/>
      <c r="AG814" s="14"/>
      <c r="AH814" s="14"/>
    </row>
    <row r="815">
      <c r="M815" s="59"/>
      <c r="O815" s="60"/>
      <c r="Q815" s="13"/>
      <c r="R815" s="14"/>
      <c r="S815" s="14"/>
      <c r="T815" s="14"/>
      <c r="U815" s="14"/>
      <c r="V815" s="14"/>
      <c r="W815" s="14"/>
      <c r="X815" s="15"/>
      <c r="Y815" s="14"/>
      <c r="Z815" s="16"/>
      <c r="AA815" s="14"/>
      <c r="AB815" s="14"/>
      <c r="AC815" s="14"/>
      <c r="AD815" s="14"/>
      <c r="AE815" s="14"/>
      <c r="AF815" s="14"/>
      <c r="AG815" s="14"/>
      <c r="AH815" s="14"/>
    </row>
    <row r="816">
      <c r="M816" s="59"/>
      <c r="O816" s="60"/>
      <c r="Q816" s="13"/>
      <c r="R816" s="14"/>
      <c r="S816" s="14"/>
      <c r="T816" s="14"/>
      <c r="U816" s="14"/>
      <c r="V816" s="14"/>
      <c r="W816" s="14"/>
      <c r="X816" s="15"/>
      <c r="Y816" s="14"/>
      <c r="Z816" s="16"/>
      <c r="AA816" s="14"/>
      <c r="AB816" s="14"/>
      <c r="AC816" s="14"/>
      <c r="AD816" s="14"/>
      <c r="AE816" s="14"/>
      <c r="AF816" s="14"/>
      <c r="AG816" s="14"/>
      <c r="AH816" s="14"/>
    </row>
    <row r="817">
      <c r="M817" s="59"/>
      <c r="O817" s="60"/>
      <c r="Q817" s="13"/>
      <c r="R817" s="14"/>
      <c r="S817" s="14"/>
      <c r="T817" s="14"/>
      <c r="U817" s="14"/>
      <c r="V817" s="14"/>
      <c r="W817" s="14"/>
      <c r="X817" s="15"/>
      <c r="Y817" s="14"/>
      <c r="Z817" s="16"/>
      <c r="AA817" s="14"/>
      <c r="AB817" s="14"/>
      <c r="AC817" s="14"/>
      <c r="AD817" s="14"/>
      <c r="AE817" s="14"/>
      <c r="AF817" s="14"/>
      <c r="AG817" s="14"/>
      <c r="AH817" s="14"/>
    </row>
    <row r="818">
      <c r="M818" s="59"/>
      <c r="O818" s="60"/>
      <c r="Q818" s="13"/>
      <c r="R818" s="14"/>
      <c r="S818" s="14"/>
      <c r="T818" s="14"/>
      <c r="U818" s="14"/>
      <c r="V818" s="14"/>
      <c r="W818" s="14"/>
      <c r="X818" s="15"/>
      <c r="Y818" s="14"/>
      <c r="Z818" s="16"/>
      <c r="AA818" s="14"/>
      <c r="AB818" s="14"/>
      <c r="AC818" s="14"/>
      <c r="AD818" s="14"/>
      <c r="AE818" s="14"/>
      <c r="AF818" s="14"/>
      <c r="AG818" s="14"/>
      <c r="AH818" s="14"/>
    </row>
    <row r="819">
      <c r="M819" s="59"/>
      <c r="O819" s="60"/>
      <c r="Q819" s="13"/>
      <c r="R819" s="14"/>
      <c r="S819" s="14"/>
      <c r="T819" s="14"/>
      <c r="U819" s="14"/>
      <c r="V819" s="14"/>
      <c r="W819" s="14"/>
      <c r="X819" s="15"/>
      <c r="Y819" s="14"/>
      <c r="Z819" s="16"/>
      <c r="AA819" s="14"/>
      <c r="AB819" s="14"/>
      <c r="AC819" s="14"/>
      <c r="AD819" s="14"/>
      <c r="AE819" s="14"/>
      <c r="AF819" s="14"/>
      <c r="AG819" s="14"/>
      <c r="AH819" s="14"/>
    </row>
    <row r="820">
      <c r="M820" s="59"/>
      <c r="O820" s="60"/>
      <c r="Q820" s="13"/>
      <c r="R820" s="14"/>
      <c r="S820" s="14"/>
      <c r="T820" s="14"/>
      <c r="U820" s="14"/>
      <c r="V820" s="14"/>
      <c r="W820" s="14"/>
      <c r="X820" s="15"/>
      <c r="Y820" s="14"/>
      <c r="Z820" s="16"/>
      <c r="AA820" s="14"/>
      <c r="AB820" s="14"/>
      <c r="AC820" s="14"/>
      <c r="AD820" s="14"/>
      <c r="AE820" s="14"/>
      <c r="AF820" s="14"/>
      <c r="AG820" s="14"/>
      <c r="AH820" s="14"/>
    </row>
    <row r="821">
      <c r="M821" s="59"/>
      <c r="O821" s="60"/>
      <c r="Q821" s="13"/>
      <c r="R821" s="14"/>
      <c r="S821" s="14"/>
      <c r="T821" s="14"/>
      <c r="U821" s="14"/>
      <c r="V821" s="14"/>
      <c r="W821" s="14"/>
      <c r="X821" s="15"/>
      <c r="Y821" s="14"/>
      <c r="Z821" s="16"/>
      <c r="AA821" s="14"/>
      <c r="AB821" s="14"/>
      <c r="AC821" s="14"/>
      <c r="AD821" s="14"/>
      <c r="AE821" s="14"/>
      <c r="AF821" s="14"/>
      <c r="AG821" s="14"/>
      <c r="AH821" s="14"/>
    </row>
    <row r="822">
      <c r="M822" s="59"/>
      <c r="O822" s="60"/>
      <c r="Q822" s="13"/>
      <c r="R822" s="14"/>
      <c r="S822" s="14"/>
      <c r="T822" s="14"/>
      <c r="U822" s="14"/>
      <c r="V822" s="14"/>
      <c r="W822" s="14"/>
      <c r="X822" s="15"/>
      <c r="Y822" s="14"/>
      <c r="Z822" s="16"/>
      <c r="AA822" s="14"/>
      <c r="AB822" s="14"/>
      <c r="AC822" s="14"/>
      <c r="AD822" s="14"/>
      <c r="AE822" s="14"/>
      <c r="AF822" s="14"/>
      <c r="AG822" s="14"/>
      <c r="AH822" s="14"/>
    </row>
    <row r="823">
      <c r="M823" s="59"/>
      <c r="O823" s="60"/>
      <c r="Q823" s="13"/>
      <c r="R823" s="14"/>
      <c r="S823" s="14"/>
      <c r="T823" s="14"/>
      <c r="U823" s="14"/>
      <c r="V823" s="14"/>
      <c r="W823" s="14"/>
      <c r="X823" s="15"/>
      <c r="Y823" s="14"/>
      <c r="Z823" s="16"/>
      <c r="AA823" s="14"/>
      <c r="AB823" s="14"/>
      <c r="AC823" s="14"/>
      <c r="AD823" s="14"/>
      <c r="AE823" s="14"/>
      <c r="AF823" s="14"/>
      <c r="AG823" s="14"/>
      <c r="AH823" s="14"/>
    </row>
    <row r="824">
      <c r="M824" s="59"/>
      <c r="O824" s="60"/>
      <c r="Q824" s="13"/>
      <c r="R824" s="14"/>
      <c r="S824" s="14"/>
      <c r="T824" s="14"/>
      <c r="U824" s="14"/>
      <c r="V824" s="14"/>
      <c r="W824" s="14"/>
      <c r="X824" s="15"/>
      <c r="Y824" s="14"/>
      <c r="Z824" s="16"/>
      <c r="AA824" s="14"/>
      <c r="AB824" s="14"/>
      <c r="AC824" s="14"/>
      <c r="AD824" s="14"/>
      <c r="AE824" s="14"/>
      <c r="AF824" s="14"/>
      <c r="AG824" s="14"/>
      <c r="AH824" s="14"/>
    </row>
    <row r="825">
      <c r="M825" s="59"/>
      <c r="O825" s="60"/>
      <c r="Q825" s="13"/>
      <c r="R825" s="14"/>
      <c r="S825" s="14"/>
      <c r="T825" s="14"/>
      <c r="U825" s="14"/>
      <c r="V825" s="14"/>
      <c r="W825" s="14"/>
      <c r="X825" s="15"/>
      <c r="Y825" s="14"/>
      <c r="Z825" s="16"/>
      <c r="AA825" s="14"/>
      <c r="AB825" s="14"/>
      <c r="AC825" s="14"/>
      <c r="AD825" s="14"/>
      <c r="AE825" s="14"/>
      <c r="AF825" s="14"/>
      <c r="AG825" s="14"/>
      <c r="AH825" s="14"/>
    </row>
    <row r="826">
      <c r="M826" s="59"/>
      <c r="O826" s="60"/>
      <c r="Q826" s="13"/>
      <c r="R826" s="14"/>
      <c r="S826" s="14"/>
      <c r="T826" s="14"/>
      <c r="U826" s="14"/>
      <c r="V826" s="14"/>
      <c r="W826" s="14"/>
      <c r="X826" s="15"/>
      <c r="Y826" s="14"/>
      <c r="Z826" s="16"/>
      <c r="AA826" s="14"/>
      <c r="AB826" s="14"/>
      <c r="AC826" s="14"/>
      <c r="AD826" s="14"/>
      <c r="AE826" s="14"/>
      <c r="AF826" s="14"/>
      <c r="AG826" s="14"/>
      <c r="AH826" s="14"/>
    </row>
    <row r="827">
      <c r="M827" s="59"/>
      <c r="O827" s="60"/>
      <c r="Q827" s="13"/>
      <c r="R827" s="14"/>
      <c r="S827" s="14"/>
      <c r="T827" s="14"/>
      <c r="U827" s="14"/>
      <c r="V827" s="14"/>
      <c r="W827" s="14"/>
      <c r="X827" s="15"/>
      <c r="Y827" s="14"/>
      <c r="Z827" s="16"/>
      <c r="AA827" s="14"/>
      <c r="AB827" s="14"/>
      <c r="AC827" s="14"/>
      <c r="AD827" s="14"/>
      <c r="AE827" s="14"/>
      <c r="AF827" s="14"/>
      <c r="AG827" s="14"/>
      <c r="AH827" s="14"/>
    </row>
    <row r="828">
      <c r="M828" s="59"/>
      <c r="O828" s="60"/>
      <c r="Q828" s="13"/>
      <c r="R828" s="14"/>
      <c r="S828" s="14"/>
      <c r="T828" s="14"/>
      <c r="U828" s="14"/>
      <c r="V828" s="14"/>
      <c r="W828" s="14"/>
      <c r="X828" s="15"/>
      <c r="Y828" s="14"/>
      <c r="Z828" s="16"/>
      <c r="AA828" s="14"/>
      <c r="AB828" s="14"/>
      <c r="AC828" s="14"/>
      <c r="AD828" s="14"/>
      <c r="AE828" s="14"/>
      <c r="AF828" s="14"/>
      <c r="AG828" s="14"/>
      <c r="AH828" s="14"/>
    </row>
    <row r="829">
      <c r="M829" s="59"/>
      <c r="O829" s="60"/>
      <c r="Q829" s="13"/>
      <c r="R829" s="14"/>
      <c r="S829" s="14"/>
      <c r="T829" s="14"/>
      <c r="U829" s="14"/>
      <c r="V829" s="14"/>
      <c r="W829" s="14"/>
      <c r="X829" s="15"/>
      <c r="Y829" s="14"/>
      <c r="Z829" s="16"/>
      <c r="AA829" s="14"/>
      <c r="AB829" s="14"/>
      <c r="AC829" s="14"/>
      <c r="AD829" s="14"/>
      <c r="AE829" s="14"/>
      <c r="AF829" s="14"/>
      <c r="AG829" s="14"/>
      <c r="AH829" s="14"/>
    </row>
    <row r="830">
      <c r="M830" s="59"/>
      <c r="O830" s="60"/>
      <c r="Q830" s="13"/>
      <c r="R830" s="14"/>
      <c r="S830" s="14"/>
      <c r="T830" s="14"/>
      <c r="U830" s="14"/>
      <c r="V830" s="14"/>
      <c r="W830" s="14"/>
      <c r="X830" s="15"/>
      <c r="Y830" s="14"/>
      <c r="Z830" s="16"/>
      <c r="AA830" s="14"/>
      <c r="AB830" s="14"/>
      <c r="AC830" s="14"/>
      <c r="AD830" s="14"/>
      <c r="AE830" s="14"/>
      <c r="AF830" s="14"/>
      <c r="AG830" s="14"/>
      <c r="AH830" s="14"/>
    </row>
    <row r="831">
      <c r="M831" s="59"/>
      <c r="O831" s="60"/>
      <c r="Q831" s="13"/>
      <c r="R831" s="14"/>
      <c r="S831" s="14"/>
      <c r="T831" s="14"/>
      <c r="U831" s="14"/>
      <c r="V831" s="14"/>
      <c r="W831" s="14"/>
      <c r="X831" s="15"/>
      <c r="Y831" s="14"/>
      <c r="Z831" s="16"/>
      <c r="AA831" s="14"/>
      <c r="AB831" s="14"/>
      <c r="AC831" s="14"/>
      <c r="AD831" s="14"/>
      <c r="AE831" s="14"/>
      <c r="AF831" s="14"/>
      <c r="AG831" s="14"/>
      <c r="AH831" s="14"/>
    </row>
    <row r="832">
      <c r="M832" s="59"/>
      <c r="O832" s="60"/>
      <c r="Q832" s="13"/>
      <c r="R832" s="14"/>
      <c r="S832" s="14"/>
      <c r="T832" s="14"/>
      <c r="U832" s="14"/>
      <c r="V832" s="14"/>
      <c r="W832" s="14"/>
      <c r="X832" s="15"/>
      <c r="Y832" s="14"/>
      <c r="Z832" s="16"/>
      <c r="AA832" s="14"/>
      <c r="AB832" s="14"/>
      <c r="AC832" s="14"/>
      <c r="AD832" s="14"/>
      <c r="AE832" s="14"/>
      <c r="AF832" s="14"/>
      <c r="AG832" s="14"/>
      <c r="AH832" s="14"/>
    </row>
    <row r="833">
      <c r="M833" s="59"/>
      <c r="O833" s="60"/>
      <c r="Q833" s="13"/>
      <c r="R833" s="14"/>
      <c r="S833" s="14"/>
      <c r="T833" s="14"/>
      <c r="U833" s="14"/>
      <c r="V833" s="14"/>
      <c r="W833" s="14"/>
      <c r="X833" s="15"/>
      <c r="Y833" s="14"/>
      <c r="Z833" s="16"/>
      <c r="AA833" s="14"/>
      <c r="AB833" s="14"/>
      <c r="AC833" s="14"/>
      <c r="AD833" s="14"/>
      <c r="AE833" s="14"/>
      <c r="AF833" s="14"/>
      <c r="AG833" s="14"/>
      <c r="AH833" s="14"/>
    </row>
    <row r="834">
      <c r="M834" s="59"/>
      <c r="O834" s="60"/>
      <c r="Q834" s="13"/>
      <c r="R834" s="14"/>
      <c r="S834" s="14"/>
      <c r="T834" s="14"/>
      <c r="U834" s="14"/>
      <c r="V834" s="14"/>
      <c r="W834" s="14"/>
      <c r="X834" s="15"/>
      <c r="Y834" s="14"/>
      <c r="Z834" s="16"/>
      <c r="AA834" s="14"/>
      <c r="AB834" s="14"/>
      <c r="AC834" s="14"/>
      <c r="AD834" s="14"/>
      <c r="AE834" s="14"/>
      <c r="AF834" s="14"/>
      <c r="AG834" s="14"/>
      <c r="AH834" s="14"/>
    </row>
    <row r="835">
      <c r="M835" s="59"/>
      <c r="O835" s="60"/>
      <c r="Q835" s="13"/>
      <c r="R835" s="14"/>
      <c r="S835" s="14"/>
      <c r="T835" s="14"/>
      <c r="U835" s="14"/>
      <c r="V835" s="14"/>
      <c r="W835" s="14"/>
      <c r="X835" s="15"/>
      <c r="Y835" s="14"/>
      <c r="Z835" s="16"/>
      <c r="AA835" s="14"/>
      <c r="AB835" s="14"/>
      <c r="AC835" s="14"/>
      <c r="AD835" s="14"/>
      <c r="AE835" s="14"/>
      <c r="AF835" s="14"/>
      <c r="AG835" s="14"/>
      <c r="AH835" s="14"/>
    </row>
    <row r="836">
      <c r="M836" s="59"/>
      <c r="O836" s="60"/>
      <c r="Q836" s="13"/>
      <c r="R836" s="14"/>
      <c r="S836" s="14"/>
      <c r="T836" s="14"/>
      <c r="U836" s="14"/>
      <c r="V836" s="14"/>
      <c r="W836" s="14"/>
      <c r="X836" s="15"/>
      <c r="Y836" s="14"/>
      <c r="Z836" s="16"/>
      <c r="AA836" s="14"/>
      <c r="AB836" s="14"/>
      <c r="AC836" s="14"/>
      <c r="AD836" s="14"/>
      <c r="AE836" s="14"/>
      <c r="AF836" s="14"/>
      <c r="AG836" s="14"/>
      <c r="AH836" s="14"/>
    </row>
    <row r="837">
      <c r="M837" s="59"/>
      <c r="O837" s="60"/>
      <c r="Q837" s="13"/>
      <c r="R837" s="14"/>
      <c r="S837" s="14"/>
      <c r="T837" s="14"/>
      <c r="U837" s="14"/>
      <c r="V837" s="14"/>
      <c r="W837" s="14"/>
      <c r="X837" s="15"/>
      <c r="Y837" s="14"/>
      <c r="Z837" s="16"/>
      <c r="AA837" s="14"/>
      <c r="AB837" s="14"/>
      <c r="AC837" s="14"/>
      <c r="AD837" s="14"/>
      <c r="AE837" s="14"/>
      <c r="AF837" s="14"/>
      <c r="AG837" s="14"/>
      <c r="AH837" s="14"/>
    </row>
    <row r="838">
      <c r="M838" s="59"/>
      <c r="O838" s="60"/>
      <c r="Q838" s="13"/>
      <c r="R838" s="14"/>
      <c r="S838" s="14"/>
      <c r="T838" s="14"/>
      <c r="U838" s="14"/>
      <c r="V838" s="14"/>
      <c r="W838" s="14"/>
      <c r="X838" s="15"/>
      <c r="Y838" s="14"/>
      <c r="Z838" s="16"/>
      <c r="AA838" s="14"/>
      <c r="AB838" s="14"/>
      <c r="AC838" s="14"/>
      <c r="AD838" s="14"/>
      <c r="AE838" s="14"/>
      <c r="AF838" s="14"/>
      <c r="AG838" s="14"/>
      <c r="AH838" s="14"/>
    </row>
    <row r="839">
      <c r="M839" s="59"/>
      <c r="O839" s="60"/>
      <c r="Q839" s="13"/>
      <c r="R839" s="14"/>
      <c r="S839" s="14"/>
      <c r="T839" s="14"/>
      <c r="U839" s="14"/>
      <c r="V839" s="14"/>
      <c r="W839" s="14"/>
      <c r="X839" s="15"/>
      <c r="Y839" s="14"/>
      <c r="Z839" s="16"/>
      <c r="AA839" s="14"/>
      <c r="AB839" s="14"/>
      <c r="AC839" s="14"/>
      <c r="AD839" s="14"/>
      <c r="AE839" s="14"/>
      <c r="AF839" s="14"/>
      <c r="AG839" s="14"/>
      <c r="AH839" s="14"/>
    </row>
    <row r="840">
      <c r="M840" s="59"/>
      <c r="O840" s="60"/>
      <c r="Q840" s="13"/>
      <c r="R840" s="14"/>
      <c r="S840" s="14"/>
      <c r="T840" s="14"/>
      <c r="U840" s="14"/>
      <c r="V840" s="14"/>
      <c r="W840" s="14"/>
      <c r="X840" s="15"/>
      <c r="Y840" s="14"/>
      <c r="Z840" s="16"/>
      <c r="AA840" s="14"/>
      <c r="AB840" s="14"/>
      <c r="AC840" s="14"/>
      <c r="AD840" s="14"/>
      <c r="AE840" s="14"/>
      <c r="AF840" s="14"/>
      <c r="AG840" s="14"/>
      <c r="AH840" s="14"/>
    </row>
    <row r="841">
      <c r="M841" s="59"/>
      <c r="O841" s="60"/>
      <c r="Q841" s="13"/>
      <c r="R841" s="14"/>
      <c r="S841" s="14"/>
      <c r="T841" s="14"/>
      <c r="U841" s="14"/>
      <c r="V841" s="14"/>
      <c r="W841" s="14"/>
      <c r="X841" s="15"/>
      <c r="Y841" s="14"/>
      <c r="Z841" s="16"/>
      <c r="AA841" s="14"/>
      <c r="AB841" s="14"/>
      <c r="AC841" s="14"/>
      <c r="AD841" s="14"/>
      <c r="AE841" s="14"/>
      <c r="AF841" s="14"/>
      <c r="AG841" s="14"/>
      <c r="AH841" s="14"/>
    </row>
    <row r="842">
      <c r="M842" s="59"/>
      <c r="O842" s="60"/>
      <c r="Q842" s="13"/>
      <c r="R842" s="14"/>
      <c r="S842" s="14"/>
      <c r="T842" s="14"/>
      <c r="U842" s="14"/>
      <c r="V842" s="14"/>
      <c r="W842" s="14"/>
      <c r="X842" s="15"/>
      <c r="Y842" s="14"/>
      <c r="Z842" s="16"/>
      <c r="AA842" s="14"/>
      <c r="AB842" s="14"/>
      <c r="AC842" s="14"/>
      <c r="AD842" s="14"/>
      <c r="AE842" s="14"/>
      <c r="AF842" s="14"/>
      <c r="AG842" s="14"/>
      <c r="AH842" s="14"/>
    </row>
    <row r="843">
      <c r="M843" s="59"/>
      <c r="O843" s="60"/>
      <c r="Q843" s="13"/>
      <c r="R843" s="14"/>
      <c r="S843" s="14"/>
      <c r="T843" s="14"/>
      <c r="U843" s="14"/>
      <c r="V843" s="14"/>
      <c r="W843" s="14"/>
      <c r="X843" s="15"/>
      <c r="Y843" s="14"/>
      <c r="Z843" s="16"/>
      <c r="AA843" s="14"/>
      <c r="AB843" s="14"/>
      <c r="AC843" s="14"/>
      <c r="AD843" s="14"/>
      <c r="AE843" s="14"/>
      <c r="AF843" s="14"/>
      <c r="AG843" s="14"/>
      <c r="AH843" s="14"/>
    </row>
    <row r="844">
      <c r="M844" s="59"/>
      <c r="O844" s="60"/>
      <c r="Q844" s="13"/>
      <c r="R844" s="14"/>
      <c r="S844" s="14"/>
      <c r="T844" s="14"/>
      <c r="U844" s="14"/>
      <c r="V844" s="14"/>
      <c r="W844" s="14"/>
      <c r="X844" s="15"/>
      <c r="Y844" s="14"/>
      <c r="Z844" s="16"/>
      <c r="AA844" s="14"/>
      <c r="AB844" s="14"/>
      <c r="AC844" s="14"/>
      <c r="AD844" s="14"/>
      <c r="AE844" s="14"/>
      <c r="AF844" s="14"/>
      <c r="AG844" s="14"/>
      <c r="AH844" s="14"/>
    </row>
    <row r="845">
      <c r="M845" s="59"/>
      <c r="O845" s="60"/>
      <c r="Q845" s="13"/>
      <c r="R845" s="14"/>
      <c r="S845" s="14"/>
      <c r="T845" s="14"/>
      <c r="U845" s="14"/>
      <c r="V845" s="14"/>
      <c r="W845" s="14"/>
      <c r="X845" s="15"/>
      <c r="Y845" s="14"/>
      <c r="Z845" s="16"/>
      <c r="AA845" s="14"/>
      <c r="AB845" s="14"/>
      <c r="AC845" s="14"/>
      <c r="AD845" s="14"/>
      <c r="AE845" s="14"/>
      <c r="AF845" s="14"/>
      <c r="AG845" s="14"/>
      <c r="AH845" s="14"/>
    </row>
    <row r="846">
      <c r="M846" s="59"/>
      <c r="O846" s="60"/>
      <c r="Q846" s="13"/>
      <c r="R846" s="14"/>
      <c r="S846" s="14"/>
      <c r="T846" s="14"/>
      <c r="U846" s="14"/>
      <c r="V846" s="14"/>
      <c r="W846" s="14"/>
      <c r="X846" s="15"/>
      <c r="Y846" s="14"/>
      <c r="Z846" s="16"/>
      <c r="AA846" s="14"/>
      <c r="AB846" s="14"/>
      <c r="AC846" s="14"/>
      <c r="AD846" s="14"/>
      <c r="AE846" s="14"/>
      <c r="AF846" s="14"/>
      <c r="AG846" s="14"/>
      <c r="AH846" s="14"/>
    </row>
    <row r="847">
      <c r="M847" s="59"/>
      <c r="O847" s="60"/>
      <c r="Q847" s="13"/>
      <c r="R847" s="14"/>
      <c r="S847" s="14"/>
      <c r="T847" s="14"/>
      <c r="U847" s="14"/>
      <c r="V847" s="14"/>
      <c r="W847" s="14"/>
      <c r="X847" s="15"/>
      <c r="Y847" s="14"/>
      <c r="Z847" s="16"/>
      <c r="AA847" s="14"/>
      <c r="AB847" s="14"/>
      <c r="AC847" s="14"/>
      <c r="AD847" s="14"/>
      <c r="AE847" s="14"/>
      <c r="AF847" s="14"/>
      <c r="AG847" s="14"/>
      <c r="AH847" s="14"/>
    </row>
    <row r="848">
      <c r="M848" s="59"/>
      <c r="O848" s="60"/>
      <c r="Q848" s="13"/>
      <c r="R848" s="14"/>
      <c r="S848" s="14"/>
      <c r="T848" s="14"/>
      <c r="U848" s="14"/>
      <c r="V848" s="14"/>
      <c r="W848" s="14"/>
      <c r="X848" s="15"/>
      <c r="Y848" s="14"/>
      <c r="Z848" s="16"/>
      <c r="AA848" s="14"/>
      <c r="AB848" s="14"/>
      <c r="AC848" s="14"/>
      <c r="AD848" s="14"/>
      <c r="AE848" s="14"/>
      <c r="AF848" s="14"/>
      <c r="AG848" s="14"/>
      <c r="AH848" s="14"/>
    </row>
    <row r="849">
      <c r="M849" s="59"/>
      <c r="O849" s="60"/>
      <c r="Q849" s="13"/>
      <c r="R849" s="14"/>
      <c r="S849" s="14"/>
      <c r="T849" s="14"/>
      <c r="U849" s="14"/>
      <c r="V849" s="14"/>
      <c r="W849" s="14"/>
      <c r="X849" s="15"/>
      <c r="Y849" s="14"/>
      <c r="Z849" s="16"/>
      <c r="AA849" s="14"/>
      <c r="AB849" s="14"/>
      <c r="AC849" s="14"/>
      <c r="AD849" s="14"/>
      <c r="AE849" s="14"/>
      <c r="AF849" s="14"/>
      <c r="AG849" s="14"/>
      <c r="AH849" s="14"/>
    </row>
    <row r="850">
      <c r="M850" s="59"/>
      <c r="O850" s="60"/>
      <c r="Q850" s="13"/>
      <c r="R850" s="14"/>
      <c r="S850" s="14"/>
      <c r="T850" s="14"/>
      <c r="U850" s="14"/>
      <c r="V850" s="14"/>
      <c r="W850" s="14"/>
      <c r="X850" s="15"/>
      <c r="Y850" s="14"/>
      <c r="Z850" s="16"/>
      <c r="AA850" s="14"/>
      <c r="AB850" s="14"/>
      <c r="AC850" s="14"/>
      <c r="AD850" s="14"/>
      <c r="AE850" s="14"/>
      <c r="AF850" s="14"/>
      <c r="AG850" s="14"/>
      <c r="AH850" s="14"/>
    </row>
    <row r="851">
      <c r="M851" s="59"/>
      <c r="O851" s="60"/>
      <c r="Q851" s="13"/>
      <c r="R851" s="14"/>
      <c r="S851" s="14"/>
      <c r="T851" s="14"/>
      <c r="U851" s="14"/>
      <c r="V851" s="14"/>
      <c r="W851" s="14"/>
      <c r="X851" s="15"/>
      <c r="Y851" s="14"/>
      <c r="Z851" s="16"/>
      <c r="AA851" s="14"/>
      <c r="AB851" s="14"/>
      <c r="AC851" s="14"/>
      <c r="AD851" s="14"/>
      <c r="AE851" s="14"/>
      <c r="AF851" s="14"/>
      <c r="AG851" s="14"/>
      <c r="AH851" s="14"/>
    </row>
    <row r="852">
      <c r="M852" s="59"/>
      <c r="O852" s="60"/>
      <c r="Q852" s="13"/>
      <c r="R852" s="14"/>
      <c r="S852" s="14"/>
      <c r="T852" s="14"/>
      <c r="U852" s="14"/>
      <c r="V852" s="14"/>
      <c r="W852" s="14"/>
      <c r="X852" s="15"/>
      <c r="Y852" s="14"/>
      <c r="Z852" s="16"/>
      <c r="AA852" s="14"/>
      <c r="AB852" s="14"/>
      <c r="AC852" s="14"/>
      <c r="AD852" s="14"/>
      <c r="AE852" s="14"/>
      <c r="AF852" s="14"/>
      <c r="AG852" s="14"/>
      <c r="AH852" s="14"/>
    </row>
    <row r="853">
      <c r="M853" s="59"/>
      <c r="O853" s="60"/>
      <c r="Q853" s="13"/>
      <c r="R853" s="14"/>
      <c r="S853" s="14"/>
      <c r="T853" s="14"/>
      <c r="U853" s="14"/>
      <c r="V853" s="14"/>
      <c r="W853" s="14"/>
      <c r="X853" s="15"/>
      <c r="Y853" s="14"/>
      <c r="Z853" s="16"/>
      <c r="AA853" s="14"/>
      <c r="AB853" s="14"/>
      <c r="AC853" s="14"/>
      <c r="AD853" s="14"/>
      <c r="AE853" s="14"/>
      <c r="AF853" s="14"/>
      <c r="AG853" s="14"/>
      <c r="AH853" s="14"/>
    </row>
    <row r="854">
      <c r="M854" s="59"/>
      <c r="O854" s="60"/>
      <c r="Q854" s="13"/>
      <c r="R854" s="14"/>
      <c r="S854" s="14"/>
      <c r="T854" s="14"/>
      <c r="U854" s="14"/>
      <c r="V854" s="14"/>
      <c r="W854" s="14"/>
      <c r="X854" s="15"/>
      <c r="Y854" s="14"/>
      <c r="Z854" s="16"/>
      <c r="AA854" s="14"/>
      <c r="AB854" s="14"/>
      <c r="AC854" s="14"/>
      <c r="AD854" s="14"/>
      <c r="AE854" s="14"/>
      <c r="AF854" s="14"/>
      <c r="AG854" s="14"/>
      <c r="AH854" s="14"/>
    </row>
    <row r="855">
      <c r="M855" s="59"/>
      <c r="O855" s="60"/>
      <c r="Q855" s="13"/>
      <c r="R855" s="14"/>
      <c r="S855" s="14"/>
      <c r="T855" s="14"/>
      <c r="U855" s="14"/>
      <c r="V855" s="14"/>
      <c r="W855" s="14"/>
      <c r="X855" s="15"/>
      <c r="Y855" s="14"/>
      <c r="Z855" s="16"/>
      <c r="AA855" s="14"/>
      <c r="AB855" s="14"/>
      <c r="AC855" s="14"/>
      <c r="AD855" s="14"/>
      <c r="AE855" s="14"/>
      <c r="AF855" s="14"/>
      <c r="AG855" s="14"/>
      <c r="AH855" s="14"/>
    </row>
    <row r="856">
      <c r="M856" s="59"/>
      <c r="O856" s="60"/>
      <c r="Q856" s="13"/>
      <c r="R856" s="14"/>
      <c r="S856" s="14"/>
      <c r="T856" s="14"/>
      <c r="U856" s="14"/>
      <c r="V856" s="14"/>
      <c r="W856" s="14"/>
      <c r="X856" s="15"/>
      <c r="Y856" s="14"/>
      <c r="Z856" s="16"/>
      <c r="AA856" s="14"/>
      <c r="AB856" s="14"/>
      <c r="AC856" s="14"/>
      <c r="AD856" s="14"/>
      <c r="AE856" s="14"/>
      <c r="AF856" s="14"/>
      <c r="AG856" s="14"/>
      <c r="AH856" s="14"/>
    </row>
    <row r="857">
      <c r="M857" s="59"/>
      <c r="O857" s="60"/>
      <c r="Q857" s="13"/>
      <c r="R857" s="14"/>
      <c r="S857" s="14"/>
      <c r="T857" s="14"/>
      <c r="U857" s="14"/>
      <c r="V857" s="14"/>
      <c r="W857" s="14"/>
      <c r="X857" s="15"/>
      <c r="Y857" s="14"/>
      <c r="Z857" s="16"/>
      <c r="AA857" s="14"/>
      <c r="AB857" s="14"/>
      <c r="AC857" s="14"/>
      <c r="AD857" s="14"/>
      <c r="AE857" s="14"/>
      <c r="AF857" s="14"/>
      <c r="AG857" s="14"/>
      <c r="AH857" s="14"/>
    </row>
    <row r="858">
      <c r="M858" s="59"/>
      <c r="O858" s="60"/>
      <c r="Q858" s="13"/>
      <c r="R858" s="14"/>
      <c r="S858" s="14"/>
      <c r="T858" s="14"/>
      <c r="U858" s="14"/>
      <c r="V858" s="14"/>
      <c r="W858" s="14"/>
      <c r="X858" s="15"/>
      <c r="Y858" s="14"/>
      <c r="Z858" s="16"/>
      <c r="AA858" s="14"/>
      <c r="AB858" s="14"/>
      <c r="AC858" s="14"/>
      <c r="AD858" s="14"/>
      <c r="AE858" s="14"/>
      <c r="AF858" s="14"/>
      <c r="AG858" s="14"/>
      <c r="AH858" s="14"/>
    </row>
    <row r="859">
      <c r="M859" s="59"/>
      <c r="O859" s="60"/>
      <c r="Q859" s="13"/>
      <c r="R859" s="14"/>
      <c r="S859" s="14"/>
      <c r="T859" s="14"/>
      <c r="U859" s="14"/>
      <c r="V859" s="14"/>
      <c r="W859" s="14"/>
      <c r="X859" s="15"/>
      <c r="Y859" s="14"/>
      <c r="Z859" s="16"/>
      <c r="AA859" s="14"/>
      <c r="AB859" s="14"/>
      <c r="AC859" s="14"/>
      <c r="AD859" s="14"/>
      <c r="AE859" s="14"/>
      <c r="AF859" s="14"/>
      <c r="AG859" s="14"/>
      <c r="AH859" s="14"/>
    </row>
    <row r="860">
      <c r="M860" s="59"/>
      <c r="O860" s="60"/>
      <c r="Q860" s="13"/>
      <c r="R860" s="14"/>
      <c r="S860" s="14"/>
      <c r="T860" s="14"/>
      <c r="U860" s="14"/>
      <c r="V860" s="14"/>
      <c r="W860" s="14"/>
      <c r="X860" s="15"/>
      <c r="Y860" s="14"/>
      <c r="Z860" s="16"/>
      <c r="AA860" s="14"/>
      <c r="AB860" s="14"/>
      <c r="AC860" s="14"/>
      <c r="AD860" s="14"/>
      <c r="AE860" s="14"/>
      <c r="AF860" s="14"/>
      <c r="AG860" s="14"/>
      <c r="AH860" s="14"/>
    </row>
    <row r="861">
      <c r="M861" s="59"/>
      <c r="O861" s="60"/>
      <c r="Q861" s="13"/>
      <c r="R861" s="14"/>
      <c r="S861" s="14"/>
      <c r="T861" s="14"/>
      <c r="U861" s="14"/>
      <c r="V861" s="14"/>
      <c r="W861" s="14"/>
      <c r="X861" s="15"/>
      <c r="Y861" s="14"/>
      <c r="Z861" s="16"/>
      <c r="AA861" s="14"/>
      <c r="AB861" s="14"/>
      <c r="AC861" s="14"/>
      <c r="AD861" s="14"/>
      <c r="AE861" s="14"/>
      <c r="AF861" s="14"/>
      <c r="AG861" s="14"/>
      <c r="AH861" s="14"/>
    </row>
    <row r="862">
      <c r="M862" s="59"/>
      <c r="O862" s="60"/>
      <c r="Q862" s="13"/>
      <c r="R862" s="14"/>
      <c r="S862" s="14"/>
      <c r="T862" s="14"/>
      <c r="U862" s="14"/>
      <c r="V862" s="14"/>
      <c r="W862" s="14"/>
      <c r="X862" s="15"/>
      <c r="Y862" s="14"/>
      <c r="Z862" s="16"/>
      <c r="AA862" s="14"/>
      <c r="AB862" s="14"/>
      <c r="AC862" s="14"/>
      <c r="AD862" s="14"/>
      <c r="AE862" s="14"/>
      <c r="AF862" s="14"/>
      <c r="AG862" s="14"/>
      <c r="AH862" s="14"/>
    </row>
    <row r="863">
      <c r="M863" s="59"/>
      <c r="O863" s="60"/>
      <c r="Q863" s="13"/>
      <c r="R863" s="14"/>
      <c r="S863" s="14"/>
      <c r="T863" s="14"/>
      <c r="U863" s="14"/>
      <c r="V863" s="14"/>
      <c r="W863" s="14"/>
      <c r="X863" s="15"/>
      <c r="Y863" s="14"/>
      <c r="Z863" s="16"/>
      <c r="AA863" s="14"/>
      <c r="AB863" s="14"/>
      <c r="AC863" s="14"/>
      <c r="AD863" s="14"/>
      <c r="AE863" s="14"/>
      <c r="AF863" s="14"/>
      <c r="AG863" s="14"/>
      <c r="AH863" s="14"/>
    </row>
    <row r="864">
      <c r="M864" s="59"/>
      <c r="O864" s="60"/>
      <c r="Q864" s="13"/>
      <c r="R864" s="14"/>
      <c r="S864" s="14"/>
      <c r="T864" s="14"/>
      <c r="U864" s="14"/>
      <c r="V864" s="14"/>
      <c r="W864" s="14"/>
      <c r="X864" s="15"/>
      <c r="Y864" s="14"/>
      <c r="Z864" s="16"/>
      <c r="AA864" s="14"/>
      <c r="AB864" s="14"/>
      <c r="AC864" s="14"/>
      <c r="AD864" s="14"/>
      <c r="AE864" s="14"/>
      <c r="AF864" s="14"/>
      <c r="AG864" s="14"/>
      <c r="AH864" s="14"/>
    </row>
    <row r="865">
      <c r="M865" s="59"/>
      <c r="O865" s="60"/>
      <c r="Q865" s="13"/>
      <c r="R865" s="14"/>
      <c r="S865" s="14"/>
      <c r="T865" s="14"/>
      <c r="U865" s="14"/>
      <c r="V865" s="14"/>
      <c r="W865" s="14"/>
      <c r="X865" s="15"/>
      <c r="Y865" s="14"/>
      <c r="Z865" s="16"/>
      <c r="AA865" s="14"/>
      <c r="AB865" s="14"/>
      <c r="AC865" s="14"/>
      <c r="AD865" s="14"/>
      <c r="AE865" s="14"/>
      <c r="AF865" s="14"/>
      <c r="AG865" s="14"/>
      <c r="AH865" s="14"/>
    </row>
    <row r="866">
      <c r="M866" s="59"/>
      <c r="O866" s="60"/>
      <c r="Q866" s="13"/>
      <c r="R866" s="14"/>
      <c r="S866" s="14"/>
      <c r="T866" s="14"/>
      <c r="U866" s="14"/>
      <c r="V866" s="14"/>
      <c r="W866" s="14"/>
      <c r="X866" s="15"/>
      <c r="Y866" s="14"/>
      <c r="Z866" s="16"/>
      <c r="AA866" s="14"/>
      <c r="AB866" s="14"/>
      <c r="AC866" s="14"/>
      <c r="AD866" s="14"/>
      <c r="AE866" s="14"/>
      <c r="AF866" s="14"/>
      <c r="AG866" s="14"/>
      <c r="AH866" s="14"/>
    </row>
    <row r="867">
      <c r="M867" s="59"/>
      <c r="O867" s="60"/>
      <c r="Q867" s="13"/>
      <c r="R867" s="14"/>
      <c r="S867" s="14"/>
      <c r="T867" s="14"/>
      <c r="U867" s="14"/>
      <c r="V867" s="14"/>
      <c r="W867" s="14"/>
      <c r="X867" s="15"/>
      <c r="Y867" s="14"/>
      <c r="Z867" s="16"/>
      <c r="AA867" s="14"/>
      <c r="AB867" s="14"/>
      <c r="AC867" s="14"/>
      <c r="AD867" s="14"/>
      <c r="AE867" s="14"/>
      <c r="AF867" s="14"/>
      <c r="AG867" s="14"/>
      <c r="AH867" s="14"/>
    </row>
    <row r="868">
      <c r="M868" s="59"/>
      <c r="O868" s="60"/>
      <c r="Q868" s="13"/>
      <c r="R868" s="14"/>
      <c r="S868" s="14"/>
      <c r="T868" s="14"/>
      <c r="U868" s="14"/>
      <c r="V868" s="14"/>
      <c r="W868" s="14"/>
      <c r="X868" s="15"/>
      <c r="Y868" s="14"/>
      <c r="Z868" s="16"/>
      <c r="AA868" s="14"/>
      <c r="AB868" s="14"/>
      <c r="AC868" s="14"/>
      <c r="AD868" s="14"/>
      <c r="AE868" s="14"/>
      <c r="AF868" s="14"/>
      <c r="AG868" s="14"/>
      <c r="AH868" s="14"/>
    </row>
    <row r="869">
      <c r="M869" s="59"/>
      <c r="O869" s="60"/>
      <c r="Q869" s="13"/>
      <c r="R869" s="14"/>
      <c r="S869" s="14"/>
      <c r="T869" s="14"/>
      <c r="U869" s="14"/>
      <c r="V869" s="14"/>
      <c r="W869" s="14"/>
      <c r="X869" s="15"/>
      <c r="Y869" s="14"/>
      <c r="Z869" s="16"/>
      <c r="AA869" s="14"/>
      <c r="AB869" s="14"/>
      <c r="AC869" s="14"/>
      <c r="AD869" s="14"/>
      <c r="AE869" s="14"/>
      <c r="AF869" s="14"/>
      <c r="AG869" s="14"/>
      <c r="AH869" s="14"/>
    </row>
    <row r="870">
      <c r="M870" s="59"/>
      <c r="O870" s="60"/>
      <c r="Q870" s="13"/>
      <c r="R870" s="14"/>
      <c r="S870" s="14"/>
      <c r="T870" s="14"/>
      <c r="U870" s="14"/>
      <c r="V870" s="14"/>
      <c r="W870" s="14"/>
      <c r="X870" s="15"/>
      <c r="Y870" s="14"/>
      <c r="Z870" s="16"/>
      <c r="AA870" s="14"/>
      <c r="AB870" s="14"/>
      <c r="AC870" s="14"/>
      <c r="AD870" s="14"/>
      <c r="AE870" s="14"/>
      <c r="AF870" s="14"/>
      <c r="AG870" s="14"/>
      <c r="AH870" s="14"/>
    </row>
    <row r="871">
      <c r="M871" s="59"/>
      <c r="O871" s="60"/>
      <c r="Q871" s="13"/>
      <c r="R871" s="14"/>
      <c r="S871" s="14"/>
      <c r="T871" s="14"/>
      <c r="U871" s="14"/>
      <c r="V871" s="14"/>
      <c r="W871" s="14"/>
      <c r="X871" s="15"/>
      <c r="Y871" s="14"/>
      <c r="Z871" s="16"/>
      <c r="AA871" s="14"/>
      <c r="AB871" s="14"/>
      <c r="AC871" s="14"/>
      <c r="AD871" s="14"/>
      <c r="AE871" s="14"/>
      <c r="AF871" s="14"/>
      <c r="AG871" s="14"/>
      <c r="AH871" s="14"/>
    </row>
    <row r="872">
      <c r="M872" s="59"/>
      <c r="O872" s="60"/>
      <c r="Q872" s="13"/>
      <c r="R872" s="14"/>
      <c r="S872" s="14"/>
      <c r="T872" s="14"/>
      <c r="U872" s="14"/>
      <c r="V872" s="14"/>
      <c r="W872" s="14"/>
      <c r="X872" s="15"/>
      <c r="Y872" s="14"/>
      <c r="Z872" s="16"/>
      <c r="AA872" s="14"/>
      <c r="AB872" s="14"/>
      <c r="AC872" s="14"/>
      <c r="AD872" s="14"/>
      <c r="AE872" s="14"/>
      <c r="AF872" s="14"/>
      <c r="AG872" s="14"/>
      <c r="AH872" s="14"/>
    </row>
    <row r="873">
      <c r="M873" s="59"/>
      <c r="O873" s="60"/>
      <c r="Q873" s="13"/>
      <c r="R873" s="14"/>
      <c r="S873" s="14"/>
      <c r="T873" s="14"/>
      <c r="U873" s="14"/>
      <c r="V873" s="14"/>
      <c r="W873" s="14"/>
      <c r="X873" s="15"/>
      <c r="Y873" s="14"/>
      <c r="Z873" s="16"/>
      <c r="AA873" s="14"/>
      <c r="AB873" s="14"/>
      <c r="AC873" s="14"/>
      <c r="AD873" s="14"/>
      <c r="AE873" s="14"/>
      <c r="AF873" s="14"/>
      <c r="AG873" s="14"/>
      <c r="AH873" s="14"/>
    </row>
    <row r="874">
      <c r="M874" s="59"/>
      <c r="O874" s="60"/>
      <c r="Q874" s="13"/>
      <c r="R874" s="14"/>
      <c r="S874" s="14"/>
      <c r="T874" s="14"/>
      <c r="U874" s="14"/>
      <c r="V874" s="14"/>
      <c r="W874" s="14"/>
      <c r="X874" s="15"/>
      <c r="Y874" s="14"/>
      <c r="Z874" s="16"/>
      <c r="AA874" s="14"/>
      <c r="AB874" s="14"/>
      <c r="AC874" s="14"/>
      <c r="AD874" s="14"/>
      <c r="AE874" s="14"/>
      <c r="AF874" s="14"/>
      <c r="AG874" s="14"/>
      <c r="AH874" s="14"/>
    </row>
    <row r="875">
      <c r="M875" s="59"/>
      <c r="O875" s="60"/>
      <c r="Q875" s="13"/>
      <c r="R875" s="14"/>
      <c r="S875" s="14"/>
      <c r="T875" s="14"/>
      <c r="U875" s="14"/>
      <c r="V875" s="14"/>
      <c r="W875" s="14"/>
      <c r="X875" s="15"/>
      <c r="Y875" s="14"/>
      <c r="Z875" s="16"/>
      <c r="AA875" s="14"/>
      <c r="AB875" s="14"/>
      <c r="AC875" s="14"/>
      <c r="AD875" s="14"/>
      <c r="AE875" s="14"/>
      <c r="AF875" s="14"/>
      <c r="AG875" s="14"/>
      <c r="AH875" s="14"/>
    </row>
    <row r="876">
      <c r="M876" s="59"/>
      <c r="O876" s="60"/>
      <c r="Q876" s="13"/>
      <c r="R876" s="14"/>
      <c r="S876" s="14"/>
      <c r="T876" s="14"/>
      <c r="U876" s="14"/>
      <c r="V876" s="14"/>
      <c r="W876" s="14"/>
      <c r="X876" s="15"/>
      <c r="Y876" s="14"/>
      <c r="Z876" s="16"/>
      <c r="AA876" s="14"/>
      <c r="AB876" s="14"/>
      <c r="AC876" s="14"/>
      <c r="AD876" s="14"/>
      <c r="AE876" s="14"/>
      <c r="AF876" s="14"/>
      <c r="AG876" s="14"/>
      <c r="AH876" s="14"/>
    </row>
    <row r="877">
      <c r="M877" s="59"/>
      <c r="O877" s="60"/>
      <c r="Q877" s="13"/>
      <c r="R877" s="14"/>
      <c r="S877" s="14"/>
      <c r="T877" s="14"/>
      <c r="U877" s="14"/>
      <c r="V877" s="14"/>
      <c r="W877" s="14"/>
      <c r="X877" s="15"/>
      <c r="Y877" s="14"/>
      <c r="Z877" s="16"/>
      <c r="AA877" s="14"/>
      <c r="AB877" s="14"/>
      <c r="AC877" s="14"/>
      <c r="AD877" s="14"/>
      <c r="AE877" s="14"/>
      <c r="AF877" s="14"/>
      <c r="AG877" s="14"/>
      <c r="AH877" s="14"/>
    </row>
    <row r="878">
      <c r="M878" s="59"/>
      <c r="O878" s="60"/>
      <c r="Q878" s="13"/>
      <c r="R878" s="14"/>
      <c r="S878" s="14"/>
      <c r="T878" s="14"/>
      <c r="U878" s="14"/>
      <c r="V878" s="14"/>
      <c r="W878" s="14"/>
      <c r="X878" s="15"/>
      <c r="Y878" s="14"/>
      <c r="Z878" s="16"/>
      <c r="AA878" s="14"/>
      <c r="AB878" s="14"/>
      <c r="AC878" s="14"/>
      <c r="AD878" s="14"/>
      <c r="AE878" s="14"/>
      <c r="AF878" s="14"/>
      <c r="AG878" s="14"/>
      <c r="AH878" s="14"/>
    </row>
    <row r="879">
      <c r="M879" s="59"/>
      <c r="O879" s="60"/>
      <c r="Q879" s="13"/>
      <c r="R879" s="14"/>
      <c r="S879" s="14"/>
      <c r="T879" s="14"/>
      <c r="U879" s="14"/>
      <c r="V879" s="14"/>
      <c r="W879" s="14"/>
      <c r="X879" s="15"/>
      <c r="Y879" s="14"/>
      <c r="Z879" s="16"/>
      <c r="AA879" s="14"/>
      <c r="AB879" s="14"/>
      <c r="AC879" s="14"/>
      <c r="AD879" s="14"/>
      <c r="AE879" s="14"/>
      <c r="AF879" s="14"/>
      <c r="AG879" s="14"/>
      <c r="AH879" s="14"/>
    </row>
    <row r="880">
      <c r="M880" s="59"/>
      <c r="O880" s="60"/>
      <c r="Q880" s="13"/>
      <c r="R880" s="14"/>
      <c r="S880" s="14"/>
      <c r="T880" s="14"/>
      <c r="U880" s="14"/>
      <c r="V880" s="14"/>
      <c r="W880" s="14"/>
      <c r="X880" s="15"/>
      <c r="Y880" s="14"/>
      <c r="Z880" s="16"/>
      <c r="AA880" s="14"/>
      <c r="AB880" s="14"/>
      <c r="AC880" s="14"/>
      <c r="AD880" s="14"/>
      <c r="AE880" s="14"/>
      <c r="AF880" s="14"/>
      <c r="AG880" s="14"/>
      <c r="AH880" s="14"/>
    </row>
    <row r="881">
      <c r="M881" s="59"/>
      <c r="O881" s="60"/>
      <c r="Q881" s="13"/>
      <c r="R881" s="14"/>
      <c r="S881" s="14"/>
      <c r="T881" s="14"/>
      <c r="U881" s="14"/>
      <c r="V881" s="14"/>
      <c r="W881" s="14"/>
      <c r="X881" s="15"/>
      <c r="Y881" s="14"/>
      <c r="Z881" s="16"/>
      <c r="AA881" s="14"/>
      <c r="AB881" s="14"/>
      <c r="AC881" s="14"/>
      <c r="AD881" s="14"/>
      <c r="AE881" s="14"/>
      <c r="AF881" s="14"/>
      <c r="AG881" s="14"/>
      <c r="AH881" s="14"/>
    </row>
    <row r="882">
      <c r="M882" s="59"/>
      <c r="O882" s="60"/>
      <c r="Q882" s="13"/>
      <c r="R882" s="14"/>
      <c r="S882" s="14"/>
      <c r="T882" s="14"/>
      <c r="U882" s="14"/>
      <c r="V882" s="14"/>
      <c r="W882" s="14"/>
      <c r="X882" s="15"/>
      <c r="Y882" s="14"/>
      <c r="Z882" s="16"/>
      <c r="AA882" s="14"/>
      <c r="AB882" s="14"/>
      <c r="AC882" s="14"/>
      <c r="AD882" s="14"/>
      <c r="AE882" s="14"/>
      <c r="AF882" s="14"/>
      <c r="AG882" s="14"/>
      <c r="AH882" s="14"/>
    </row>
    <row r="883">
      <c r="M883" s="59"/>
      <c r="O883" s="60"/>
      <c r="Q883" s="13"/>
      <c r="R883" s="14"/>
      <c r="S883" s="14"/>
      <c r="T883" s="14"/>
      <c r="U883" s="14"/>
      <c r="V883" s="14"/>
      <c r="W883" s="14"/>
      <c r="X883" s="15"/>
      <c r="Y883" s="14"/>
      <c r="Z883" s="16"/>
      <c r="AA883" s="14"/>
      <c r="AB883" s="14"/>
      <c r="AC883" s="14"/>
      <c r="AD883" s="14"/>
      <c r="AE883" s="14"/>
      <c r="AF883" s="14"/>
      <c r="AG883" s="14"/>
      <c r="AH883" s="14"/>
    </row>
    <row r="884">
      <c r="M884" s="59"/>
      <c r="O884" s="60"/>
      <c r="Q884" s="13"/>
      <c r="R884" s="14"/>
      <c r="S884" s="14"/>
      <c r="T884" s="14"/>
      <c r="U884" s="14"/>
      <c r="V884" s="14"/>
      <c r="W884" s="14"/>
      <c r="X884" s="15"/>
      <c r="Y884" s="14"/>
      <c r="Z884" s="16"/>
      <c r="AA884" s="14"/>
      <c r="AB884" s="14"/>
      <c r="AC884" s="14"/>
      <c r="AD884" s="14"/>
      <c r="AE884" s="14"/>
      <c r="AF884" s="14"/>
      <c r="AG884" s="14"/>
      <c r="AH884" s="14"/>
    </row>
    <row r="885">
      <c r="M885" s="59"/>
      <c r="O885" s="60"/>
      <c r="Q885" s="13"/>
      <c r="R885" s="14"/>
      <c r="S885" s="14"/>
      <c r="T885" s="14"/>
      <c r="U885" s="14"/>
      <c r="V885" s="14"/>
      <c r="W885" s="14"/>
      <c r="X885" s="15"/>
      <c r="Y885" s="14"/>
      <c r="Z885" s="16"/>
      <c r="AA885" s="14"/>
      <c r="AB885" s="14"/>
      <c r="AC885" s="14"/>
      <c r="AD885" s="14"/>
      <c r="AE885" s="14"/>
      <c r="AF885" s="14"/>
      <c r="AG885" s="14"/>
      <c r="AH885" s="14"/>
    </row>
    <row r="886">
      <c r="M886" s="59"/>
      <c r="O886" s="60"/>
      <c r="Q886" s="13"/>
      <c r="R886" s="14"/>
      <c r="S886" s="14"/>
      <c r="T886" s="14"/>
      <c r="U886" s="14"/>
      <c r="V886" s="14"/>
      <c r="W886" s="14"/>
      <c r="X886" s="15"/>
      <c r="Y886" s="14"/>
      <c r="Z886" s="16"/>
      <c r="AA886" s="14"/>
      <c r="AB886" s="14"/>
      <c r="AC886" s="14"/>
      <c r="AD886" s="14"/>
      <c r="AE886" s="14"/>
      <c r="AF886" s="14"/>
      <c r="AG886" s="14"/>
      <c r="AH886" s="14"/>
    </row>
    <row r="887">
      <c r="M887" s="59"/>
      <c r="O887" s="60"/>
      <c r="Q887" s="13"/>
      <c r="R887" s="14"/>
      <c r="S887" s="14"/>
      <c r="T887" s="14"/>
      <c r="U887" s="14"/>
      <c r="V887" s="14"/>
      <c r="W887" s="14"/>
      <c r="X887" s="15"/>
      <c r="Y887" s="14"/>
      <c r="Z887" s="16"/>
      <c r="AA887" s="14"/>
      <c r="AB887" s="14"/>
      <c r="AC887" s="14"/>
      <c r="AD887" s="14"/>
      <c r="AE887" s="14"/>
      <c r="AF887" s="14"/>
      <c r="AG887" s="14"/>
      <c r="AH887" s="14"/>
    </row>
    <row r="888">
      <c r="M888" s="59"/>
      <c r="O888" s="60"/>
      <c r="Q888" s="13"/>
      <c r="R888" s="14"/>
      <c r="S888" s="14"/>
      <c r="T888" s="14"/>
      <c r="U888" s="14"/>
      <c r="V888" s="14"/>
      <c r="W888" s="14"/>
      <c r="X888" s="15"/>
      <c r="Y888" s="14"/>
      <c r="Z888" s="16"/>
      <c r="AA888" s="14"/>
      <c r="AB888" s="14"/>
      <c r="AC888" s="14"/>
      <c r="AD888" s="14"/>
      <c r="AE888" s="14"/>
      <c r="AF888" s="14"/>
      <c r="AG888" s="14"/>
      <c r="AH888" s="14"/>
    </row>
    <row r="889">
      <c r="M889" s="59"/>
      <c r="O889" s="60"/>
      <c r="Q889" s="13"/>
      <c r="R889" s="14"/>
      <c r="S889" s="14"/>
      <c r="T889" s="14"/>
      <c r="U889" s="14"/>
      <c r="V889" s="14"/>
      <c r="W889" s="14"/>
      <c r="X889" s="15"/>
      <c r="Y889" s="14"/>
      <c r="Z889" s="16"/>
      <c r="AA889" s="14"/>
      <c r="AB889" s="14"/>
      <c r="AC889" s="14"/>
      <c r="AD889" s="14"/>
      <c r="AE889" s="14"/>
      <c r="AF889" s="14"/>
      <c r="AG889" s="14"/>
      <c r="AH889" s="14"/>
    </row>
    <row r="890">
      <c r="M890" s="59"/>
      <c r="O890" s="60"/>
      <c r="Q890" s="13"/>
      <c r="R890" s="14"/>
      <c r="S890" s="14"/>
      <c r="T890" s="14"/>
      <c r="U890" s="14"/>
      <c r="V890" s="14"/>
      <c r="W890" s="14"/>
      <c r="X890" s="15"/>
      <c r="Y890" s="14"/>
      <c r="Z890" s="16"/>
      <c r="AA890" s="14"/>
      <c r="AB890" s="14"/>
      <c r="AC890" s="14"/>
      <c r="AD890" s="14"/>
      <c r="AE890" s="14"/>
      <c r="AF890" s="14"/>
      <c r="AG890" s="14"/>
      <c r="AH890" s="14"/>
    </row>
    <row r="891">
      <c r="M891" s="59"/>
      <c r="O891" s="60"/>
      <c r="Q891" s="13"/>
      <c r="R891" s="14"/>
      <c r="S891" s="14"/>
      <c r="T891" s="14"/>
      <c r="U891" s="14"/>
      <c r="V891" s="14"/>
      <c r="W891" s="14"/>
      <c r="X891" s="15"/>
      <c r="Y891" s="14"/>
      <c r="Z891" s="16"/>
      <c r="AA891" s="14"/>
      <c r="AB891" s="14"/>
      <c r="AC891" s="14"/>
      <c r="AD891" s="14"/>
      <c r="AE891" s="14"/>
      <c r="AF891" s="14"/>
      <c r="AG891" s="14"/>
      <c r="AH891" s="14"/>
    </row>
    <row r="892">
      <c r="M892" s="59"/>
      <c r="O892" s="60"/>
      <c r="Q892" s="13"/>
      <c r="R892" s="14"/>
      <c r="S892" s="14"/>
      <c r="T892" s="14"/>
      <c r="U892" s="14"/>
      <c r="V892" s="14"/>
      <c r="W892" s="14"/>
      <c r="X892" s="15"/>
      <c r="Y892" s="14"/>
      <c r="Z892" s="16"/>
      <c r="AA892" s="14"/>
      <c r="AB892" s="14"/>
      <c r="AC892" s="14"/>
      <c r="AD892" s="14"/>
      <c r="AE892" s="14"/>
      <c r="AF892" s="14"/>
      <c r="AG892" s="14"/>
      <c r="AH892" s="14"/>
    </row>
    <row r="893">
      <c r="M893" s="59"/>
      <c r="O893" s="60"/>
      <c r="Q893" s="13"/>
      <c r="R893" s="14"/>
      <c r="S893" s="14"/>
      <c r="T893" s="14"/>
      <c r="U893" s="14"/>
      <c r="V893" s="14"/>
      <c r="W893" s="14"/>
      <c r="X893" s="15"/>
      <c r="Y893" s="14"/>
      <c r="Z893" s="16"/>
      <c r="AA893" s="14"/>
      <c r="AB893" s="14"/>
      <c r="AC893" s="14"/>
      <c r="AD893" s="14"/>
      <c r="AE893" s="14"/>
      <c r="AF893" s="14"/>
      <c r="AG893" s="14"/>
      <c r="AH893" s="14"/>
    </row>
    <row r="894">
      <c r="M894" s="59"/>
      <c r="O894" s="60"/>
      <c r="Q894" s="13"/>
      <c r="R894" s="14"/>
      <c r="S894" s="14"/>
      <c r="T894" s="14"/>
      <c r="U894" s="14"/>
      <c r="V894" s="14"/>
      <c r="W894" s="14"/>
      <c r="X894" s="15"/>
      <c r="Y894" s="14"/>
      <c r="Z894" s="16"/>
      <c r="AA894" s="14"/>
      <c r="AB894" s="14"/>
      <c r="AC894" s="14"/>
      <c r="AD894" s="14"/>
      <c r="AE894" s="14"/>
      <c r="AF894" s="14"/>
      <c r="AG894" s="14"/>
      <c r="AH894" s="14"/>
    </row>
    <row r="895">
      <c r="M895" s="59"/>
      <c r="O895" s="60"/>
      <c r="Q895" s="13"/>
      <c r="R895" s="14"/>
      <c r="S895" s="14"/>
      <c r="T895" s="14"/>
      <c r="U895" s="14"/>
      <c r="V895" s="14"/>
      <c r="W895" s="14"/>
      <c r="X895" s="15"/>
      <c r="Y895" s="14"/>
      <c r="Z895" s="16"/>
      <c r="AA895" s="14"/>
      <c r="AB895" s="14"/>
      <c r="AC895" s="14"/>
      <c r="AD895" s="14"/>
      <c r="AE895" s="14"/>
      <c r="AF895" s="14"/>
      <c r="AG895" s="14"/>
      <c r="AH895" s="14"/>
    </row>
    <row r="896">
      <c r="M896" s="59"/>
      <c r="O896" s="60"/>
      <c r="Q896" s="13"/>
      <c r="R896" s="14"/>
      <c r="S896" s="14"/>
      <c r="T896" s="14"/>
      <c r="U896" s="14"/>
      <c r="V896" s="14"/>
      <c r="W896" s="14"/>
      <c r="X896" s="15"/>
      <c r="Y896" s="14"/>
      <c r="Z896" s="16"/>
      <c r="AA896" s="14"/>
      <c r="AB896" s="14"/>
      <c r="AC896" s="14"/>
      <c r="AD896" s="14"/>
      <c r="AE896" s="14"/>
      <c r="AF896" s="14"/>
      <c r="AG896" s="14"/>
      <c r="AH896" s="14"/>
    </row>
    <row r="897">
      <c r="M897" s="59"/>
      <c r="O897" s="60"/>
      <c r="Q897" s="13"/>
      <c r="R897" s="14"/>
      <c r="S897" s="14"/>
      <c r="T897" s="14"/>
      <c r="U897" s="14"/>
      <c r="V897" s="14"/>
      <c r="W897" s="14"/>
      <c r="X897" s="15"/>
      <c r="Y897" s="14"/>
      <c r="Z897" s="16"/>
      <c r="AA897" s="14"/>
      <c r="AB897" s="14"/>
      <c r="AC897" s="14"/>
      <c r="AD897" s="14"/>
      <c r="AE897" s="14"/>
      <c r="AF897" s="14"/>
      <c r="AG897" s="14"/>
      <c r="AH897" s="14"/>
    </row>
    <row r="898">
      <c r="M898" s="59"/>
      <c r="O898" s="60"/>
      <c r="Q898" s="13"/>
      <c r="R898" s="14"/>
      <c r="S898" s="14"/>
      <c r="T898" s="14"/>
      <c r="U898" s="14"/>
      <c r="V898" s="14"/>
      <c r="W898" s="14"/>
      <c r="X898" s="15"/>
      <c r="Y898" s="14"/>
      <c r="Z898" s="16"/>
      <c r="AA898" s="14"/>
      <c r="AB898" s="14"/>
      <c r="AC898" s="14"/>
      <c r="AD898" s="14"/>
      <c r="AE898" s="14"/>
      <c r="AF898" s="14"/>
      <c r="AG898" s="14"/>
      <c r="AH898" s="14"/>
    </row>
    <row r="899">
      <c r="M899" s="59"/>
      <c r="O899" s="60"/>
      <c r="Q899" s="13"/>
      <c r="R899" s="14"/>
      <c r="S899" s="14"/>
      <c r="T899" s="14"/>
      <c r="U899" s="14"/>
      <c r="V899" s="14"/>
      <c r="W899" s="14"/>
      <c r="X899" s="15"/>
      <c r="Y899" s="14"/>
      <c r="Z899" s="16"/>
      <c r="AA899" s="14"/>
      <c r="AB899" s="14"/>
      <c r="AC899" s="14"/>
      <c r="AD899" s="14"/>
      <c r="AE899" s="14"/>
      <c r="AF899" s="14"/>
      <c r="AG899" s="14"/>
      <c r="AH899" s="14"/>
    </row>
    <row r="900">
      <c r="M900" s="59"/>
      <c r="O900" s="60"/>
      <c r="Q900" s="13"/>
      <c r="R900" s="14"/>
      <c r="S900" s="14"/>
      <c r="T900" s="14"/>
      <c r="U900" s="14"/>
      <c r="V900" s="14"/>
      <c r="W900" s="14"/>
      <c r="X900" s="15"/>
      <c r="Y900" s="14"/>
      <c r="Z900" s="16"/>
      <c r="AA900" s="14"/>
      <c r="AB900" s="14"/>
      <c r="AC900" s="14"/>
      <c r="AD900" s="14"/>
      <c r="AE900" s="14"/>
      <c r="AF900" s="14"/>
      <c r="AG900" s="14"/>
      <c r="AH900" s="14"/>
    </row>
    <row r="901">
      <c r="M901" s="59"/>
      <c r="O901" s="60"/>
      <c r="Q901" s="13"/>
      <c r="R901" s="14"/>
      <c r="S901" s="14"/>
      <c r="T901" s="14"/>
      <c r="U901" s="14"/>
      <c r="V901" s="14"/>
      <c r="W901" s="14"/>
      <c r="X901" s="15"/>
      <c r="Y901" s="14"/>
      <c r="Z901" s="16"/>
      <c r="AA901" s="14"/>
      <c r="AB901" s="14"/>
      <c r="AC901" s="14"/>
      <c r="AD901" s="14"/>
      <c r="AE901" s="14"/>
      <c r="AF901" s="14"/>
      <c r="AG901" s="14"/>
      <c r="AH901" s="14"/>
    </row>
    <row r="902">
      <c r="M902" s="59"/>
      <c r="O902" s="60"/>
      <c r="Q902" s="13"/>
      <c r="R902" s="14"/>
      <c r="S902" s="14"/>
      <c r="T902" s="14"/>
      <c r="U902" s="14"/>
      <c r="V902" s="14"/>
      <c r="W902" s="14"/>
      <c r="X902" s="15"/>
      <c r="Y902" s="14"/>
      <c r="Z902" s="16"/>
      <c r="AA902" s="14"/>
      <c r="AB902" s="14"/>
      <c r="AC902" s="14"/>
      <c r="AD902" s="14"/>
      <c r="AE902" s="14"/>
      <c r="AF902" s="14"/>
      <c r="AG902" s="14"/>
      <c r="AH902" s="14"/>
    </row>
    <row r="903">
      <c r="M903" s="59"/>
      <c r="O903" s="60"/>
      <c r="Q903" s="13"/>
      <c r="R903" s="14"/>
      <c r="S903" s="14"/>
      <c r="T903" s="14"/>
      <c r="U903" s="14"/>
      <c r="V903" s="14"/>
      <c r="W903" s="14"/>
      <c r="X903" s="15"/>
      <c r="Y903" s="14"/>
      <c r="Z903" s="16"/>
      <c r="AA903" s="14"/>
      <c r="AB903" s="14"/>
      <c r="AC903" s="14"/>
      <c r="AD903" s="14"/>
      <c r="AE903" s="14"/>
      <c r="AF903" s="14"/>
      <c r="AG903" s="14"/>
      <c r="AH903" s="14"/>
    </row>
    <row r="904">
      <c r="M904" s="59"/>
      <c r="O904" s="60"/>
      <c r="Q904" s="13"/>
      <c r="R904" s="14"/>
      <c r="S904" s="14"/>
      <c r="T904" s="14"/>
      <c r="U904" s="14"/>
      <c r="V904" s="14"/>
      <c r="W904" s="14"/>
      <c r="X904" s="15"/>
      <c r="Y904" s="14"/>
      <c r="Z904" s="16"/>
      <c r="AA904" s="14"/>
      <c r="AB904" s="14"/>
      <c r="AC904" s="14"/>
      <c r="AD904" s="14"/>
      <c r="AE904" s="14"/>
      <c r="AF904" s="14"/>
      <c r="AG904" s="14"/>
      <c r="AH904" s="14"/>
    </row>
    <row r="905">
      <c r="M905" s="59"/>
      <c r="O905" s="60"/>
      <c r="Q905" s="13"/>
      <c r="R905" s="14"/>
      <c r="S905" s="14"/>
      <c r="T905" s="14"/>
      <c r="U905" s="14"/>
      <c r="V905" s="14"/>
      <c r="W905" s="14"/>
      <c r="X905" s="15"/>
      <c r="Y905" s="14"/>
      <c r="Z905" s="16"/>
      <c r="AA905" s="14"/>
      <c r="AB905" s="14"/>
      <c r="AC905" s="14"/>
      <c r="AD905" s="14"/>
      <c r="AE905" s="14"/>
      <c r="AF905" s="14"/>
      <c r="AG905" s="14"/>
      <c r="AH905" s="14"/>
    </row>
    <row r="906">
      <c r="M906" s="59"/>
      <c r="O906" s="60"/>
      <c r="Q906" s="13"/>
      <c r="R906" s="14"/>
      <c r="S906" s="14"/>
      <c r="T906" s="14"/>
      <c r="U906" s="14"/>
      <c r="V906" s="14"/>
      <c r="W906" s="14"/>
      <c r="X906" s="15"/>
      <c r="Y906" s="14"/>
      <c r="Z906" s="16"/>
      <c r="AA906" s="14"/>
      <c r="AB906" s="14"/>
      <c r="AC906" s="14"/>
      <c r="AD906" s="14"/>
      <c r="AE906" s="14"/>
      <c r="AF906" s="14"/>
      <c r="AG906" s="14"/>
      <c r="AH906" s="14"/>
    </row>
    <row r="907">
      <c r="M907" s="59"/>
      <c r="O907" s="60"/>
      <c r="Q907" s="13"/>
      <c r="R907" s="14"/>
      <c r="S907" s="14"/>
      <c r="T907" s="14"/>
      <c r="U907" s="14"/>
      <c r="V907" s="14"/>
      <c r="W907" s="14"/>
      <c r="X907" s="15"/>
      <c r="Y907" s="14"/>
      <c r="Z907" s="16"/>
      <c r="AA907" s="14"/>
      <c r="AB907" s="14"/>
      <c r="AC907" s="14"/>
      <c r="AD907" s="14"/>
      <c r="AE907" s="14"/>
      <c r="AF907" s="14"/>
      <c r="AG907" s="14"/>
      <c r="AH907" s="14"/>
    </row>
    <row r="908">
      <c r="M908" s="59"/>
      <c r="O908" s="60"/>
      <c r="Q908" s="13"/>
      <c r="R908" s="14"/>
      <c r="S908" s="14"/>
      <c r="T908" s="14"/>
      <c r="U908" s="14"/>
      <c r="V908" s="14"/>
      <c r="W908" s="14"/>
      <c r="X908" s="15"/>
      <c r="Y908" s="14"/>
      <c r="Z908" s="16"/>
      <c r="AA908" s="14"/>
      <c r="AB908" s="14"/>
      <c r="AC908" s="14"/>
      <c r="AD908" s="14"/>
      <c r="AE908" s="14"/>
      <c r="AF908" s="14"/>
      <c r="AG908" s="14"/>
      <c r="AH908" s="14"/>
    </row>
    <row r="909">
      <c r="M909" s="59"/>
      <c r="O909" s="60"/>
      <c r="Q909" s="13"/>
      <c r="R909" s="14"/>
      <c r="S909" s="14"/>
      <c r="T909" s="14"/>
      <c r="U909" s="14"/>
      <c r="V909" s="14"/>
      <c r="W909" s="14"/>
      <c r="X909" s="15"/>
      <c r="Y909" s="14"/>
      <c r="Z909" s="16"/>
      <c r="AA909" s="14"/>
      <c r="AB909" s="14"/>
      <c r="AC909" s="14"/>
      <c r="AD909" s="14"/>
      <c r="AE909" s="14"/>
      <c r="AF909" s="14"/>
      <c r="AG909" s="14"/>
      <c r="AH909" s="14"/>
    </row>
    <row r="910">
      <c r="M910" s="59"/>
      <c r="O910" s="60"/>
      <c r="Q910" s="13"/>
      <c r="R910" s="14"/>
      <c r="S910" s="14"/>
      <c r="T910" s="14"/>
      <c r="U910" s="14"/>
      <c r="V910" s="14"/>
      <c r="W910" s="14"/>
      <c r="X910" s="15"/>
      <c r="Y910" s="14"/>
      <c r="Z910" s="16"/>
      <c r="AA910" s="14"/>
      <c r="AB910" s="14"/>
      <c r="AC910" s="14"/>
      <c r="AD910" s="14"/>
      <c r="AE910" s="14"/>
      <c r="AF910" s="14"/>
      <c r="AG910" s="14"/>
      <c r="AH910" s="14"/>
    </row>
    <row r="911">
      <c r="M911" s="59"/>
      <c r="O911" s="60"/>
      <c r="Q911" s="13"/>
      <c r="R911" s="14"/>
      <c r="S911" s="14"/>
      <c r="T911" s="14"/>
      <c r="U911" s="14"/>
      <c r="V911" s="14"/>
      <c r="W911" s="14"/>
      <c r="X911" s="15"/>
      <c r="Y911" s="14"/>
      <c r="Z911" s="16"/>
      <c r="AA911" s="14"/>
      <c r="AB911" s="14"/>
      <c r="AC911" s="14"/>
      <c r="AD911" s="14"/>
      <c r="AE911" s="14"/>
      <c r="AF911" s="14"/>
      <c r="AG911" s="14"/>
      <c r="AH911" s="14"/>
    </row>
    <row r="912">
      <c r="M912" s="59"/>
      <c r="O912" s="60"/>
      <c r="Q912" s="13"/>
      <c r="R912" s="14"/>
      <c r="S912" s="14"/>
      <c r="T912" s="14"/>
      <c r="U912" s="14"/>
      <c r="V912" s="14"/>
      <c r="W912" s="14"/>
      <c r="X912" s="15"/>
      <c r="Y912" s="14"/>
      <c r="Z912" s="16"/>
      <c r="AA912" s="14"/>
      <c r="AB912" s="14"/>
      <c r="AC912" s="14"/>
      <c r="AD912" s="14"/>
      <c r="AE912" s="14"/>
      <c r="AF912" s="14"/>
      <c r="AG912" s="14"/>
      <c r="AH912" s="14"/>
    </row>
    <row r="913">
      <c r="M913" s="59"/>
      <c r="O913" s="60"/>
      <c r="Q913" s="13"/>
      <c r="R913" s="14"/>
      <c r="S913" s="14"/>
      <c r="T913" s="14"/>
      <c r="U913" s="14"/>
      <c r="V913" s="14"/>
      <c r="W913" s="14"/>
      <c r="X913" s="15"/>
      <c r="Y913" s="14"/>
      <c r="Z913" s="16"/>
      <c r="AA913" s="14"/>
      <c r="AB913" s="14"/>
      <c r="AC913" s="14"/>
      <c r="AD913" s="14"/>
      <c r="AE913" s="14"/>
      <c r="AF913" s="14"/>
      <c r="AG913" s="14"/>
      <c r="AH913" s="14"/>
    </row>
    <row r="914">
      <c r="M914" s="59"/>
      <c r="O914" s="60"/>
      <c r="Q914" s="13"/>
      <c r="R914" s="14"/>
      <c r="S914" s="14"/>
      <c r="T914" s="14"/>
      <c r="U914" s="14"/>
      <c r="V914" s="14"/>
      <c r="W914" s="14"/>
      <c r="X914" s="15"/>
      <c r="Y914" s="14"/>
      <c r="Z914" s="16"/>
      <c r="AA914" s="14"/>
      <c r="AB914" s="14"/>
      <c r="AC914" s="14"/>
      <c r="AD914" s="14"/>
      <c r="AE914" s="14"/>
      <c r="AF914" s="14"/>
      <c r="AG914" s="14"/>
      <c r="AH914" s="14"/>
    </row>
    <row r="915">
      <c r="M915" s="59"/>
      <c r="O915" s="60"/>
      <c r="Q915" s="13"/>
      <c r="R915" s="14"/>
      <c r="S915" s="14"/>
      <c r="T915" s="14"/>
      <c r="U915" s="14"/>
      <c r="V915" s="14"/>
      <c r="W915" s="14"/>
      <c r="X915" s="15"/>
      <c r="Y915" s="14"/>
      <c r="Z915" s="16"/>
      <c r="AA915" s="14"/>
      <c r="AB915" s="14"/>
      <c r="AC915" s="14"/>
      <c r="AD915" s="14"/>
      <c r="AE915" s="14"/>
      <c r="AF915" s="14"/>
      <c r="AG915" s="14"/>
      <c r="AH915" s="14"/>
    </row>
    <row r="916">
      <c r="M916" s="59"/>
      <c r="O916" s="60"/>
      <c r="Q916" s="13"/>
      <c r="R916" s="14"/>
      <c r="S916" s="14"/>
      <c r="T916" s="14"/>
      <c r="U916" s="14"/>
      <c r="V916" s="14"/>
      <c r="W916" s="14"/>
      <c r="X916" s="15"/>
      <c r="Y916" s="14"/>
      <c r="Z916" s="16"/>
      <c r="AA916" s="14"/>
      <c r="AB916" s="14"/>
      <c r="AC916" s="14"/>
      <c r="AD916" s="14"/>
      <c r="AE916" s="14"/>
      <c r="AF916" s="14"/>
      <c r="AG916" s="14"/>
      <c r="AH916" s="14"/>
    </row>
    <row r="917">
      <c r="M917" s="59"/>
      <c r="O917" s="60"/>
      <c r="Q917" s="13"/>
      <c r="R917" s="14"/>
      <c r="S917" s="14"/>
      <c r="T917" s="14"/>
      <c r="U917" s="14"/>
      <c r="V917" s="14"/>
      <c r="W917" s="14"/>
      <c r="X917" s="15"/>
      <c r="Y917" s="14"/>
      <c r="Z917" s="16"/>
      <c r="AA917" s="14"/>
      <c r="AB917" s="14"/>
      <c r="AC917" s="14"/>
      <c r="AD917" s="14"/>
      <c r="AE917" s="14"/>
      <c r="AF917" s="14"/>
      <c r="AG917" s="14"/>
      <c r="AH917" s="14"/>
    </row>
    <row r="918">
      <c r="M918" s="59"/>
      <c r="O918" s="60"/>
      <c r="Q918" s="13"/>
      <c r="R918" s="14"/>
      <c r="S918" s="14"/>
      <c r="T918" s="14"/>
      <c r="U918" s="14"/>
      <c r="V918" s="14"/>
      <c r="W918" s="14"/>
      <c r="X918" s="15"/>
      <c r="Y918" s="14"/>
      <c r="Z918" s="16"/>
      <c r="AA918" s="14"/>
      <c r="AB918" s="14"/>
      <c r="AC918" s="14"/>
      <c r="AD918" s="14"/>
      <c r="AE918" s="14"/>
      <c r="AF918" s="14"/>
      <c r="AG918" s="14"/>
      <c r="AH918" s="14"/>
    </row>
    <row r="919">
      <c r="M919" s="59"/>
      <c r="O919" s="60"/>
      <c r="Q919" s="13"/>
      <c r="R919" s="14"/>
      <c r="S919" s="14"/>
      <c r="T919" s="14"/>
      <c r="U919" s="14"/>
      <c r="V919" s="14"/>
      <c r="W919" s="14"/>
      <c r="X919" s="15"/>
      <c r="Y919" s="14"/>
      <c r="Z919" s="16"/>
      <c r="AA919" s="14"/>
      <c r="AB919" s="14"/>
      <c r="AC919" s="14"/>
      <c r="AD919" s="14"/>
      <c r="AE919" s="14"/>
      <c r="AF919" s="14"/>
      <c r="AG919" s="14"/>
      <c r="AH919" s="14"/>
    </row>
    <row r="920">
      <c r="M920" s="59"/>
      <c r="O920" s="60"/>
      <c r="Q920" s="13"/>
      <c r="R920" s="14"/>
      <c r="S920" s="14"/>
      <c r="T920" s="14"/>
      <c r="U920" s="14"/>
      <c r="V920" s="14"/>
      <c r="W920" s="14"/>
      <c r="X920" s="15"/>
      <c r="Y920" s="14"/>
      <c r="Z920" s="16"/>
      <c r="AA920" s="14"/>
      <c r="AB920" s="14"/>
      <c r="AC920" s="14"/>
      <c r="AD920" s="14"/>
      <c r="AE920" s="14"/>
      <c r="AF920" s="14"/>
      <c r="AG920" s="14"/>
      <c r="AH920" s="14"/>
    </row>
    <row r="921">
      <c r="M921" s="59"/>
      <c r="O921" s="60"/>
      <c r="Q921" s="13"/>
      <c r="R921" s="14"/>
      <c r="S921" s="14"/>
      <c r="T921" s="14"/>
      <c r="U921" s="14"/>
      <c r="V921" s="14"/>
      <c r="W921" s="14"/>
      <c r="X921" s="15"/>
      <c r="Y921" s="14"/>
      <c r="Z921" s="16"/>
      <c r="AA921" s="14"/>
      <c r="AB921" s="14"/>
      <c r="AC921" s="14"/>
      <c r="AD921" s="14"/>
      <c r="AE921" s="14"/>
      <c r="AF921" s="14"/>
      <c r="AG921" s="14"/>
      <c r="AH921" s="14"/>
    </row>
    <row r="922">
      <c r="M922" s="59"/>
      <c r="O922" s="60"/>
      <c r="Q922" s="13"/>
      <c r="R922" s="14"/>
      <c r="S922" s="14"/>
      <c r="T922" s="14"/>
      <c r="U922" s="14"/>
      <c r="V922" s="14"/>
      <c r="W922" s="14"/>
      <c r="X922" s="15"/>
      <c r="Y922" s="14"/>
      <c r="Z922" s="16"/>
      <c r="AA922" s="14"/>
      <c r="AB922" s="14"/>
      <c r="AC922" s="14"/>
      <c r="AD922" s="14"/>
      <c r="AE922" s="14"/>
      <c r="AF922" s="14"/>
      <c r="AG922" s="14"/>
      <c r="AH922" s="14"/>
    </row>
    <row r="923">
      <c r="M923" s="59"/>
      <c r="O923" s="60"/>
      <c r="Q923" s="13"/>
      <c r="R923" s="14"/>
      <c r="S923" s="14"/>
      <c r="T923" s="14"/>
      <c r="U923" s="14"/>
      <c r="V923" s="14"/>
      <c r="W923" s="14"/>
      <c r="X923" s="15"/>
      <c r="Y923" s="14"/>
      <c r="Z923" s="16"/>
      <c r="AA923" s="14"/>
      <c r="AB923" s="14"/>
      <c r="AC923" s="14"/>
      <c r="AD923" s="14"/>
      <c r="AE923" s="14"/>
      <c r="AF923" s="14"/>
      <c r="AG923" s="14"/>
      <c r="AH923" s="14"/>
    </row>
    <row r="924">
      <c r="M924" s="59"/>
      <c r="O924" s="60"/>
      <c r="Q924" s="13"/>
      <c r="R924" s="14"/>
      <c r="S924" s="14"/>
      <c r="T924" s="14"/>
      <c r="U924" s="14"/>
      <c r="V924" s="14"/>
      <c r="W924" s="14"/>
      <c r="X924" s="15"/>
      <c r="Y924" s="14"/>
      <c r="Z924" s="16"/>
      <c r="AA924" s="14"/>
      <c r="AB924" s="14"/>
      <c r="AC924" s="14"/>
      <c r="AD924" s="14"/>
      <c r="AE924" s="14"/>
      <c r="AF924" s="14"/>
      <c r="AG924" s="14"/>
      <c r="AH924" s="14"/>
    </row>
    <row r="925">
      <c r="M925" s="59"/>
      <c r="O925" s="60"/>
      <c r="Q925" s="13"/>
      <c r="R925" s="14"/>
      <c r="S925" s="14"/>
      <c r="T925" s="14"/>
      <c r="U925" s="14"/>
      <c r="V925" s="14"/>
      <c r="W925" s="14"/>
      <c r="X925" s="15"/>
      <c r="Y925" s="14"/>
      <c r="Z925" s="16"/>
      <c r="AA925" s="14"/>
      <c r="AB925" s="14"/>
      <c r="AC925" s="14"/>
      <c r="AD925" s="14"/>
      <c r="AE925" s="14"/>
      <c r="AF925" s="14"/>
      <c r="AG925" s="14"/>
      <c r="AH925" s="14"/>
    </row>
    <row r="926">
      <c r="M926" s="59"/>
      <c r="O926" s="60"/>
      <c r="Q926" s="13"/>
      <c r="R926" s="14"/>
      <c r="S926" s="14"/>
      <c r="T926" s="14"/>
      <c r="U926" s="14"/>
      <c r="V926" s="14"/>
      <c r="W926" s="14"/>
      <c r="X926" s="15"/>
      <c r="Y926" s="14"/>
      <c r="Z926" s="16"/>
      <c r="AA926" s="14"/>
      <c r="AB926" s="14"/>
      <c r="AC926" s="14"/>
      <c r="AD926" s="14"/>
      <c r="AE926" s="14"/>
      <c r="AF926" s="14"/>
      <c r="AG926" s="14"/>
      <c r="AH926" s="14"/>
    </row>
    <row r="927">
      <c r="M927" s="59"/>
      <c r="O927" s="60"/>
      <c r="Q927" s="13"/>
      <c r="R927" s="14"/>
      <c r="S927" s="14"/>
      <c r="T927" s="14"/>
      <c r="U927" s="14"/>
      <c r="V927" s="14"/>
      <c r="W927" s="14"/>
      <c r="X927" s="15"/>
      <c r="Y927" s="14"/>
      <c r="Z927" s="16"/>
      <c r="AA927" s="14"/>
      <c r="AB927" s="14"/>
      <c r="AC927" s="14"/>
      <c r="AD927" s="14"/>
      <c r="AE927" s="14"/>
      <c r="AF927" s="14"/>
      <c r="AG927" s="14"/>
      <c r="AH927" s="14"/>
    </row>
    <row r="928">
      <c r="M928" s="59"/>
      <c r="O928" s="60"/>
      <c r="Q928" s="13"/>
      <c r="R928" s="14"/>
      <c r="S928" s="14"/>
      <c r="T928" s="14"/>
      <c r="U928" s="14"/>
      <c r="V928" s="14"/>
      <c r="W928" s="14"/>
      <c r="X928" s="15"/>
      <c r="Y928" s="14"/>
      <c r="Z928" s="16"/>
      <c r="AA928" s="14"/>
      <c r="AB928" s="14"/>
      <c r="AC928" s="14"/>
      <c r="AD928" s="14"/>
      <c r="AE928" s="14"/>
      <c r="AF928" s="14"/>
      <c r="AG928" s="14"/>
      <c r="AH928" s="14"/>
    </row>
    <row r="929">
      <c r="M929" s="59"/>
      <c r="O929" s="60"/>
      <c r="Q929" s="13"/>
      <c r="R929" s="14"/>
      <c r="S929" s="14"/>
      <c r="T929" s="14"/>
      <c r="U929" s="14"/>
      <c r="V929" s="14"/>
      <c r="W929" s="14"/>
      <c r="X929" s="15"/>
      <c r="Y929" s="14"/>
      <c r="Z929" s="16"/>
      <c r="AA929" s="14"/>
      <c r="AB929" s="14"/>
      <c r="AC929" s="14"/>
      <c r="AD929" s="14"/>
      <c r="AE929" s="14"/>
      <c r="AF929" s="14"/>
      <c r="AG929" s="14"/>
      <c r="AH929" s="14"/>
    </row>
    <row r="930">
      <c r="M930" s="59"/>
      <c r="O930" s="60"/>
      <c r="Q930" s="13"/>
      <c r="R930" s="14"/>
      <c r="S930" s="14"/>
      <c r="T930" s="14"/>
      <c r="U930" s="14"/>
      <c r="V930" s="14"/>
      <c r="W930" s="14"/>
      <c r="X930" s="15"/>
      <c r="Y930" s="14"/>
      <c r="Z930" s="16"/>
      <c r="AA930" s="14"/>
      <c r="AB930" s="14"/>
      <c r="AC930" s="14"/>
      <c r="AD930" s="14"/>
      <c r="AE930" s="14"/>
      <c r="AF930" s="14"/>
      <c r="AG930" s="14"/>
      <c r="AH930" s="14"/>
    </row>
    <row r="931">
      <c r="M931" s="59"/>
      <c r="O931" s="60"/>
      <c r="Q931" s="13"/>
      <c r="R931" s="14"/>
      <c r="S931" s="14"/>
      <c r="T931" s="14"/>
      <c r="U931" s="14"/>
      <c r="V931" s="14"/>
      <c r="W931" s="14"/>
      <c r="X931" s="15"/>
      <c r="Y931" s="14"/>
      <c r="Z931" s="16"/>
      <c r="AA931" s="14"/>
      <c r="AB931" s="14"/>
      <c r="AC931" s="14"/>
      <c r="AD931" s="14"/>
      <c r="AE931" s="14"/>
      <c r="AF931" s="14"/>
      <c r="AG931" s="14"/>
      <c r="AH931" s="14"/>
    </row>
    <row r="932">
      <c r="M932" s="59"/>
      <c r="O932" s="60"/>
      <c r="Q932" s="13"/>
      <c r="R932" s="14"/>
      <c r="S932" s="14"/>
      <c r="T932" s="14"/>
      <c r="U932" s="14"/>
      <c r="V932" s="14"/>
      <c r="W932" s="14"/>
      <c r="X932" s="15"/>
      <c r="Y932" s="14"/>
      <c r="Z932" s="16"/>
      <c r="AA932" s="14"/>
      <c r="AB932" s="14"/>
      <c r="AC932" s="14"/>
      <c r="AD932" s="14"/>
      <c r="AE932" s="14"/>
      <c r="AF932" s="14"/>
      <c r="AG932" s="14"/>
      <c r="AH932" s="14"/>
    </row>
    <row r="933">
      <c r="M933" s="59"/>
      <c r="O933" s="60"/>
      <c r="Q933" s="13"/>
      <c r="R933" s="14"/>
      <c r="S933" s="14"/>
      <c r="T933" s="14"/>
      <c r="U933" s="14"/>
      <c r="V933" s="14"/>
      <c r="W933" s="14"/>
      <c r="X933" s="15"/>
      <c r="Y933" s="14"/>
      <c r="Z933" s="16"/>
      <c r="AA933" s="14"/>
      <c r="AB933" s="14"/>
      <c r="AC933" s="14"/>
      <c r="AD933" s="14"/>
      <c r="AE933" s="14"/>
      <c r="AF933" s="14"/>
      <c r="AG933" s="14"/>
      <c r="AH933" s="14"/>
    </row>
    <row r="934">
      <c r="M934" s="59"/>
      <c r="O934" s="60"/>
      <c r="Q934" s="13"/>
      <c r="R934" s="14"/>
      <c r="S934" s="14"/>
      <c r="T934" s="14"/>
      <c r="U934" s="14"/>
      <c r="V934" s="14"/>
      <c r="W934" s="14"/>
      <c r="X934" s="15"/>
      <c r="Y934" s="14"/>
      <c r="Z934" s="16"/>
      <c r="AA934" s="14"/>
      <c r="AB934" s="14"/>
      <c r="AC934" s="14"/>
      <c r="AD934" s="14"/>
      <c r="AE934" s="14"/>
      <c r="AF934" s="14"/>
      <c r="AG934" s="14"/>
      <c r="AH934" s="14"/>
    </row>
    <row r="935">
      <c r="M935" s="59"/>
      <c r="O935" s="60"/>
      <c r="Q935" s="13"/>
      <c r="R935" s="14"/>
      <c r="S935" s="14"/>
      <c r="T935" s="14"/>
      <c r="U935" s="14"/>
      <c r="V935" s="14"/>
      <c r="W935" s="14"/>
      <c r="X935" s="15"/>
      <c r="Y935" s="14"/>
      <c r="Z935" s="16"/>
      <c r="AA935" s="14"/>
      <c r="AB935" s="14"/>
      <c r="AC935" s="14"/>
      <c r="AD935" s="14"/>
      <c r="AE935" s="14"/>
      <c r="AF935" s="14"/>
      <c r="AG935" s="14"/>
      <c r="AH935" s="14"/>
    </row>
    <row r="936">
      <c r="M936" s="59"/>
      <c r="O936" s="60"/>
      <c r="Q936" s="13"/>
      <c r="R936" s="14"/>
      <c r="S936" s="14"/>
      <c r="T936" s="14"/>
      <c r="U936" s="14"/>
      <c r="V936" s="14"/>
      <c r="W936" s="14"/>
      <c r="X936" s="15"/>
      <c r="Y936" s="14"/>
      <c r="Z936" s="16"/>
      <c r="AA936" s="14"/>
      <c r="AB936" s="14"/>
      <c r="AC936" s="14"/>
      <c r="AD936" s="14"/>
      <c r="AE936" s="14"/>
      <c r="AF936" s="14"/>
      <c r="AG936" s="14"/>
      <c r="AH936" s="14"/>
    </row>
    <row r="937">
      <c r="M937" s="59"/>
      <c r="O937" s="60"/>
      <c r="Q937" s="13"/>
      <c r="R937" s="14"/>
      <c r="S937" s="14"/>
      <c r="T937" s="14"/>
      <c r="U937" s="14"/>
      <c r="V937" s="14"/>
      <c r="W937" s="14"/>
      <c r="X937" s="15"/>
      <c r="Y937" s="14"/>
      <c r="Z937" s="16"/>
      <c r="AA937" s="14"/>
      <c r="AB937" s="14"/>
      <c r="AC937" s="14"/>
      <c r="AD937" s="14"/>
      <c r="AE937" s="14"/>
      <c r="AF937" s="14"/>
      <c r="AG937" s="14"/>
      <c r="AH937" s="14"/>
    </row>
    <row r="938">
      <c r="M938" s="59"/>
      <c r="O938" s="60"/>
      <c r="Q938" s="13"/>
      <c r="R938" s="14"/>
      <c r="S938" s="14"/>
      <c r="T938" s="14"/>
      <c r="U938" s="14"/>
      <c r="V938" s="14"/>
      <c r="W938" s="14"/>
      <c r="X938" s="15"/>
      <c r="Y938" s="14"/>
      <c r="Z938" s="16"/>
      <c r="AA938" s="14"/>
      <c r="AB938" s="14"/>
      <c r="AC938" s="14"/>
      <c r="AD938" s="14"/>
      <c r="AE938" s="14"/>
      <c r="AF938" s="14"/>
      <c r="AG938" s="14"/>
      <c r="AH938" s="14"/>
    </row>
    <row r="939">
      <c r="M939" s="59"/>
      <c r="O939" s="60"/>
      <c r="Q939" s="13"/>
      <c r="R939" s="14"/>
      <c r="S939" s="14"/>
      <c r="T939" s="14"/>
      <c r="U939" s="14"/>
      <c r="V939" s="14"/>
      <c r="W939" s="14"/>
      <c r="X939" s="15"/>
      <c r="Y939" s="14"/>
      <c r="Z939" s="16"/>
      <c r="AA939" s="14"/>
      <c r="AB939" s="14"/>
      <c r="AC939" s="14"/>
      <c r="AD939" s="14"/>
      <c r="AE939" s="14"/>
      <c r="AF939" s="14"/>
      <c r="AG939" s="14"/>
      <c r="AH939" s="14"/>
    </row>
    <row r="940">
      <c r="M940" s="59"/>
      <c r="O940" s="60"/>
      <c r="Q940" s="13"/>
      <c r="R940" s="14"/>
      <c r="S940" s="14"/>
      <c r="T940" s="14"/>
      <c r="U940" s="14"/>
      <c r="V940" s="14"/>
      <c r="W940" s="14"/>
      <c r="X940" s="15"/>
      <c r="Y940" s="14"/>
      <c r="Z940" s="16"/>
      <c r="AA940" s="14"/>
      <c r="AB940" s="14"/>
      <c r="AC940" s="14"/>
      <c r="AD940" s="14"/>
      <c r="AE940" s="14"/>
      <c r="AF940" s="14"/>
      <c r="AG940" s="14"/>
      <c r="AH940" s="14"/>
    </row>
    <row r="941">
      <c r="M941" s="59"/>
      <c r="O941" s="60"/>
      <c r="Q941" s="13"/>
      <c r="R941" s="14"/>
      <c r="S941" s="14"/>
      <c r="T941" s="14"/>
      <c r="U941" s="14"/>
      <c r="V941" s="14"/>
      <c r="W941" s="14"/>
      <c r="X941" s="15"/>
      <c r="Y941" s="14"/>
      <c r="Z941" s="16"/>
      <c r="AA941" s="14"/>
      <c r="AB941" s="14"/>
      <c r="AC941" s="14"/>
      <c r="AD941" s="14"/>
      <c r="AE941" s="14"/>
      <c r="AF941" s="14"/>
      <c r="AG941" s="14"/>
      <c r="AH941" s="14"/>
    </row>
    <row r="942">
      <c r="M942" s="59"/>
      <c r="O942" s="60"/>
      <c r="Q942" s="13"/>
      <c r="R942" s="14"/>
      <c r="S942" s="14"/>
      <c r="T942" s="14"/>
      <c r="U942" s="14"/>
      <c r="V942" s="14"/>
      <c r="W942" s="14"/>
      <c r="X942" s="15"/>
      <c r="Y942" s="14"/>
      <c r="Z942" s="16"/>
      <c r="AA942" s="14"/>
      <c r="AB942" s="14"/>
      <c r="AC942" s="14"/>
      <c r="AD942" s="14"/>
      <c r="AE942" s="14"/>
      <c r="AF942" s="14"/>
      <c r="AG942" s="14"/>
      <c r="AH942" s="14"/>
    </row>
    <row r="943">
      <c r="M943" s="59"/>
      <c r="O943" s="60"/>
      <c r="Q943" s="13"/>
      <c r="R943" s="14"/>
      <c r="S943" s="14"/>
      <c r="T943" s="14"/>
      <c r="U943" s="14"/>
      <c r="V943" s="14"/>
      <c r="W943" s="14"/>
      <c r="X943" s="15"/>
      <c r="Y943" s="14"/>
      <c r="Z943" s="16"/>
      <c r="AA943" s="14"/>
      <c r="AB943" s="14"/>
      <c r="AC943" s="14"/>
      <c r="AD943" s="14"/>
      <c r="AE943" s="14"/>
      <c r="AF943" s="14"/>
      <c r="AG943" s="14"/>
      <c r="AH943" s="14"/>
    </row>
    <row r="944">
      <c r="M944" s="59"/>
      <c r="O944" s="60"/>
      <c r="Q944" s="13"/>
      <c r="R944" s="14"/>
      <c r="S944" s="14"/>
      <c r="T944" s="14"/>
      <c r="U944" s="14"/>
      <c r="V944" s="14"/>
      <c r="W944" s="14"/>
      <c r="X944" s="15"/>
      <c r="Y944" s="14"/>
      <c r="Z944" s="16"/>
      <c r="AA944" s="14"/>
      <c r="AB944" s="14"/>
      <c r="AC944" s="14"/>
      <c r="AD944" s="14"/>
      <c r="AE944" s="14"/>
      <c r="AF944" s="14"/>
      <c r="AG944" s="14"/>
      <c r="AH944" s="14"/>
    </row>
    <row r="945">
      <c r="M945" s="59"/>
      <c r="O945" s="60"/>
      <c r="Q945" s="13"/>
      <c r="R945" s="14"/>
      <c r="S945" s="14"/>
      <c r="T945" s="14"/>
      <c r="U945" s="14"/>
      <c r="V945" s="14"/>
      <c r="W945" s="14"/>
      <c r="X945" s="15"/>
      <c r="Y945" s="14"/>
      <c r="Z945" s="16"/>
      <c r="AA945" s="14"/>
      <c r="AB945" s="14"/>
      <c r="AC945" s="14"/>
      <c r="AD945" s="14"/>
      <c r="AE945" s="14"/>
      <c r="AF945" s="14"/>
      <c r="AG945" s="14"/>
      <c r="AH945" s="14"/>
    </row>
    <row r="946">
      <c r="M946" s="59"/>
      <c r="O946" s="60"/>
      <c r="Q946" s="13"/>
      <c r="R946" s="14"/>
      <c r="S946" s="14"/>
      <c r="T946" s="14"/>
      <c r="U946" s="14"/>
      <c r="V946" s="14"/>
      <c r="W946" s="14"/>
      <c r="X946" s="15"/>
      <c r="Y946" s="14"/>
      <c r="Z946" s="16"/>
      <c r="AA946" s="14"/>
      <c r="AB946" s="14"/>
      <c r="AC946" s="14"/>
      <c r="AD946" s="14"/>
      <c r="AE946" s="14"/>
      <c r="AF946" s="14"/>
      <c r="AG946" s="14"/>
      <c r="AH946" s="14"/>
    </row>
    <row r="947">
      <c r="M947" s="59"/>
      <c r="O947" s="60"/>
      <c r="Q947" s="13"/>
      <c r="R947" s="14"/>
      <c r="S947" s="14"/>
      <c r="T947" s="14"/>
      <c r="U947" s="14"/>
      <c r="V947" s="14"/>
      <c r="W947" s="14"/>
      <c r="X947" s="15"/>
      <c r="Y947" s="14"/>
      <c r="Z947" s="16"/>
      <c r="AA947" s="14"/>
      <c r="AB947" s="14"/>
      <c r="AC947" s="14"/>
      <c r="AD947" s="14"/>
      <c r="AE947" s="14"/>
      <c r="AF947" s="14"/>
      <c r="AG947" s="14"/>
      <c r="AH947" s="14"/>
    </row>
    <row r="948">
      <c r="M948" s="59"/>
      <c r="O948" s="60"/>
      <c r="Q948" s="13"/>
      <c r="R948" s="14"/>
      <c r="S948" s="14"/>
      <c r="T948" s="14"/>
      <c r="U948" s="14"/>
      <c r="V948" s="14"/>
      <c r="W948" s="14"/>
      <c r="X948" s="15"/>
      <c r="Y948" s="14"/>
      <c r="Z948" s="16"/>
      <c r="AA948" s="14"/>
      <c r="AB948" s="14"/>
      <c r="AC948" s="14"/>
      <c r="AD948" s="14"/>
      <c r="AE948" s="14"/>
      <c r="AF948" s="14"/>
      <c r="AG948" s="14"/>
      <c r="AH948" s="14"/>
    </row>
    <row r="949">
      <c r="M949" s="59"/>
      <c r="O949" s="60"/>
      <c r="Q949" s="13"/>
      <c r="R949" s="14"/>
      <c r="S949" s="14"/>
      <c r="T949" s="14"/>
      <c r="U949" s="14"/>
      <c r="V949" s="14"/>
      <c r="W949" s="14"/>
      <c r="X949" s="15"/>
      <c r="Y949" s="14"/>
      <c r="Z949" s="16"/>
      <c r="AA949" s="14"/>
      <c r="AB949" s="14"/>
      <c r="AC949" s="14"/>
      <c r="AD949" s="14"/>
      <c r="AE949" s="14"/>
      <c r="AF949" s="14"/>
      <c r="AG949" s="14"/>
      <c r="AH949" s="14"/>
    </row>
    <row r="950">
      <c r="M950" s="59"/>
      <c r="O950" s="60"/>
      <c r="Q950" s="13"/>
      <c r="R950" s="14"/>
      <c r="S950" s="14"/>
      <c r="T950" s="14"/>
      <c r="U950" s="14"/>
      <c r="V950" s="14"/>
      <c r="W950" s="14"/>
      <c r="X950" s="15"/>
      <c r="Y950" s="14"/>
      <c r="Z950" s="16"/>
      <c r="AA950" s="14"/>
      <c r="AB950" s="14"/>
      <c r="AC950" s="14"/>
      <c r="AD950" s="14"/>
      <c r="AE950" s="14"/>
      <c r="AF950" s="14"/>
      <c r="AG950" s="14"/>
      <c r="AH950" s="14"/>
    </row>
    <row r="951">
      <c r="M951" s="59"/>
      <c r="O951" s="60"/>
      <c r="Q951" s="13"/>
      <c r="R951" s="14"/>
      <c r="S951" s="14"/>
      <c r="T951" s="14"/>
      <c r="U951" s="14"/>
      <c r="V951" s="14"/>
      <c r="W951" s="14"/>
      <c r="X951" s="15"/>
      <c r="Y951" s="14"/>
      <c r="Z951" s="16"/>
      <c r="AA951" s="14"/>
      <c r="AB951" s="14"/>
      <c r="AC951" s="14"/>
      <c r="AD951" s="14"/>
      <c r="AE951" s="14"/>
      <c r="AF951" s="14"/>
      <c r="AG951" s="14"/>
      <c r="AH951" s="14"/>
    </row>
    <row r="952">
      <c r="M952" s="59"/>
      <c r="O952" s="60"/>
      <c r="Q952" s="13"/>
      <c r="R952" s="14"/>
      <c r="S952" s="14"/>
      <c r="T952" s="14"/>
      <c r="U952" s="14"/>
      <c r="V952" s="14"/>
      <c r="W952" s="14"/>
      <c r="X952" s="15"/>
      <c r="Y952" s="14"/>
      <c r="Z952" s="16"/>
      <c r="AA952" s="14"/>
      <c r="AB952" s="14"/>
      <c r="AC952" s="14"/>
      <c r="AD952" s="14"/>
      <c r="AE952" s="14"/>
      <c r="AF952" s="14"/>
      <c r="AG952" s="14"/>
      <c r="AH952" s="14"/>
    </row>
    <row r="953">
      <c r="M953" s="59"/>
      <c r="O953" s="60"/>
      <c r="Q953" s="13"/>
      <c r="R953" s="14"/>
      <c r="S953" s="14"/>
      <c r="T953" s="14"/>
      <c r="U953" s="14"/>
      <c r="V953" s="14"/>
      <c r="W953" s="14"/>
      <c r="X953" s="15"/>
      <c r="Y953" s="14"/>
      <c r="Z953" s="16"/>
      <c r="AA953" s="14"/>
      <c r="AB953" s="14"/>
      <c r="AC953" s="14"/>
      <c r="AD953" s="14"/>
      <c r="AE953" s="14"/>
      <c r="AF953" s="14"/>
      <c r="AG953" s="14"/>
      <c r="AH953" s="14"/>
    </row>
    <row r="954">
      <c r="M954" s="59"/>
      <c r="O954" s="60"/>
      <c r="Q954" s="13"/>
      <c r="R954" s="14"/>
      <c r="S954" s="14"/>
      <c r="T954" s="14"/>
      <c r="U954" s="14"/>
      <c r="V954" s="14"/>
      <c r="W954" s="14"/>
      <c r="X954" s="15"/>
      <c r="Y954" s="14"/>
      <c r="Z954" s="16"/>
      <c r="AA954" s="14"/>
      <c r="AB954" s="14"/>
      <c r="AC954" s="14"/>
      <c r="AD954" s="14"/>
      <c r="AE954" s="14"/>
      <c r="AF954" s="14"/>
      <c r="AG954" s="14"/>
      <c r="AH954" s="14"/>
    </row>
    <row r="955">
      <c r="M955" s="59"/>
      <c r="O955" s="60"/>
      <c r="Q955" s="13"/>
      <c r="R955" s="14"/>
      <c r="S955" s="14"/>
      <c r="T955" s="14"/>
      <c r="U955" s="14"/>
      <c r="V955" s="14"/>
      <c r="W955" s="14"/>
      <c r="X955" s="15"/>
      <c r="Y955" s="14"/>
      <c r="Z955" s="16"/>
      <c r="AA955" s="14"/>
      <c r="AB955" s="14"/>
      <c r="AC955" s="14"/>
      <c r="AD955" s="14"/>
      <c r="AE955" s="14"/>
      <c r="AF955" s="14"/>
      <c r="AG955" s="14"/>
      <c r="AH955" s="14"/>
    </row>
    <row r="956">
      <c r="M956" s="59"/>
      <c r="O956" s="60"/>
      <c r="Q956" s="13"/>
      <c r="R956" s="14"/>
      <c r="S956" s="14"/>
      <c r="T956" s="14"/>
      <c r="U956" s="14"/>
      <c r="V956" s="14"/>
      <c r="W956" s="14"/>
      <c r="X956" s="15"/>
      <c r="Y956" s="14"/>
      <c r="Z956" s="16"/>
      <c r="AA956" s="14"/>
      <c r="AB956" s="14"/>
      <c r="AC956" s="14"/>
      <c r="AD956" s="14"/>
      <c r="AE956" s="14"/>
      <c r="AF956" s="14"/>
      <c r="AG956" s="14"/>
      <c r="AH956" s="14"/>
    </row>
    <row r="957">
      <c r="M957" s="59"/>
      <c r="O957" s="60"/>
      <c r="Q957" s="13"/>
      <c r="R957" s="14"/>
      <c r="S957" s="14"/>
      <c r="T957" s="14"/>
      <c r="U957" s="14"/>
      <c r="V957" s="14"/>
      <c r="W957" s="14"/>
      <c r="X957" s="15"/>
      <c r="Y957" s="14"/>
      <c r="Z957" s="16"/>
      <c r="AA957" s="14"/>
      <c r="AB957" s="14"/>
      <c r="AC957" s="14"/>
      <c r="AD957" s="14"/>
      <c r="AE957" s="14"/>
      <c r="AF957" s="14"/>
      <c r="AG957" s="14"/>
      <c r="AH957" s="14"/>
    </row>
    <row r="958">
      <c r="M958" s="59"/>
      <c r="O958" s="60"/>
      <c r="Q958" s="13"/>
      <c r="R958" s="14"/>
      <c r="S958" s="14"/>
      <c r="T958" s="14"/>
      <c r="U958" s="14"/>
      <c r="V958" s="14"/>
      <c r="W958" s="14"/>
      <c r="X958" s="15"/>
      <c r="Y958" s="14"/>
      <c r="Z958" s="16"/>
      <c r="AA958" s="14"/>
      <c r="AB958" s="14"/>
      <c r="AC958" s="14"/>
      <c r="AD958" s="14"/>
      <c r="AE958" s="14"/>
      <c r="AF958" s="14"/>
      <c r="AG958" s="14"/>
      <c r="AH958" s="14"/>
    </row>
    <row r="959">
      <c r="M959" s="59"/>
      <c r="O959" s="60"/>
      <c r="Q959" s="13"/>
      <c r="R959" s="14"/>
      <c r="S959" s="14"/>
      <c r="T959" s="14"/>
      <c r="U959" s="14"/>
      <c r="V959" s="14"/>
      <c r="W959" s="14"/>
      <c r="X959" s="15"/>
      <c r="Y959" s="14"/>
      <c r="Z959" s="16"/>
      <c r="AA959" s="14"/>
      <c r="AB959" s="14"/>
      <c r="AC959" s="14"/>
      <c r="AD959" s="14"/>
      <c r="AE959" s="14"/>
      <c r="AF959" s="14"/>
      <c r="AG959" s="14"/>
      <c r="AH959" s="14"/>
    </row>
    <row r="960">
      <c r="M960" s="59"/>
      <c r="O960" s="60"/>
      <c r="Q960" s="13"/>
      <c r="R960" s="14"/>
      <c r="S960" s="14"/>
      <c r="T960" s="14"/>
      <c r="U960" s="14"/>
      <c r="V960" s="14"/>
      <c r="W960" s="14"/>
      <c r="X960" s="15"/>
      <c r="Y960" s="14"/>
      <c r="Z960" s="16"/>
      <c r="AA960" s="14"/>
      <c r="AB960" s="14"/>
      <c r="AC960" s="14"/>
      <c r="AD960" s="14"/>
      <c r="AE960" s="14"/>
      <c r="AF960" s="14"/>
      <c r="AG960" s="14"/>
      <c r="AH960" s="14"/>
    </row>
    <row r="961">
      <c r="M961" s="59"/>
      <c r="O961" s="60"/>
      <c r="Q961" s="13"/>
      <c r="R961" s="14"/>
      <c r="S961" s="14"/>
      <c r="T961" s="14"/>
      <c r="U961" s="14"/>
      <c r="V961" s="14"/>
      <c r="W961" s="14"/>
      <c r="X961" s="15"/>
      <c r="Y961" s="14"/>
      <c r="Z961" s="16"/>
      <c r="AA961" s="14"/>
      <c r="AB961" s="14"/>
      <c r="AC961" s="14"/>
      <c r="AD961" s="14"/>
      <c r="AE961" s="14"/>
      <c r="AF961" s="14"/>
      <c r="AG961" s="14"/>
      <c r="AH961" s="14"/>
    </row>
    <row r="962">
      <c r="M962" s="59"/>
      <c r="O962" s="60"/>
      <c r="Q962" s="13"/>
      <c r="R962" s="14"/>
      <c r="S962" s="14"/>
      <c r="T962" s="14"/>
      <c r="U962" s="14"/>
      <c r="V962" s="14"/>
      <c r="W962" s="14"/>
      <c r="X962" s="15"/>
      <c r="Y962" s="14"/>
      <c r="Z962" s="16"/>
      <c r="AA962" s="14"/>
      <c r="AB962" s="14"/>
      <c r="AC962" s="14"/>
      <c r="AD962" s="14"/>
      <c r="AE962" s="14"/>
      <c r="AF962" s="14"/>
      <c r="AG962" s="14"/>
      <c r="AH962" s="14"/>
    </row>
    <row r="963">
      <c r="M963" s="59"/>
      <c r="O963" s="60"/>
      <c r="Q963" s="13"/>
      <c r="R963" s="14"/>
      <c r="S963" s="14"/>
      <c r="T963" s="14"/>
      <c r="U963" s="14"/>
      <c r="V963" s="14"/>
      <c r="W963" s="14"/>
      <c r="X963" s="15"/>
      <c r="Y963" s="14"/>
      <c r="Z963" s="16"/>
      <c r="AA963" s="14"/>
      <c r="AB963" s="14"/>
      <c r="AC963" s="14"/>
      <c r="AD963" s="14"/>
      <c r="AE963" s="14"/>
      <c r="AF963" s="14"/>
      <c r="AG963" s="14"/>
      <c r="AH963" s="14"/>
    </row>
    <row r="964">
      <c r="M964" s="59"/>
      <c r="O964" s="60"/>
      <c r="Q964" s="13"/>
      <c r="R964" s="14"/>
      <c r="S964" s="14"/>
      <c r="T964" s="14"/>
      <c r="U964" s="14"/>
      <c r="V964" s="14"/>
      <c r="W964" s="14"/>
      <c r="X964" s="15"/>
      <c r="Y964" s="14"/>
      <c r="Z964" s="16"/>
      <c r="AA964" s="14"/>
      <c r="AB964" s="14"/>
      <c r="AC964" s="14"/>
      <c r="AD964" s="14"/>
      <c r="AE964" s="14"/>
      <c r="AF964" s="14"/>
      <c r="AG964" s="14"/>
      <c r="AH964" s="14"/>
    </row>
    <row r="965">
      <c r="M965" s="59"/>
      <c r="O965" s="60"/>
      <c r="Q965" s="13"/>
      <c r="R965" s="14"/>
      <c r="S965" s="14"/>
      <c r="T965" s="14"/>
      <c r="U965" s="14"/>
      <c r="V965" s="14"/>
      <c r="W965" s="14"/>
      <c r="X965" s="15"/>
      <c r="Y965" s="14"/>
      <c r="Z965" s="16"/>
      <c r="AA965" s="14"/>
      <c r="AB965" s="14"/>
      <c r="AC965" s="14"/>
      <c r="AD965" s="14"/>
      <c r="AE965" s="14"/>
      <c r="AF965" s="14"/>
      <c r="AG965" s="14"/>
      <c r="AH965" s="14"/>
    </row>
    <row r="966">
      <c r="M966" s="59"/>
      <c r="O966" s="60"/>
      <c r="Q966" s="13"/>
      <c r="R966" s="14"/>
      <c r="S966" s="14"/>
      <c r="T966" s="14"/>
      <c r="U966" s="14"/>
      <c r="V966" s="14"/>
      <c r="W966" s="14"/>
      <c r="X966" s="15"/>
      <c r="Y966" s="14"/>
      <c r="Z966" s="16"/>
      <c r="AA966" s="14"/>
      <c r="AB966" s="14"/>
      <c r="AC966" s="14"/>
      <c r="AD966" s="14"/>
      <c r="AE966" s="14"/>
      <c r="AF966" s="14"/>
      <c r="AG966" s="14"/>
      <c r="AH966" s="14"/>
    </row>
    <row r="967">
      <c r="M967" s="59"/>
      <c r="O967" s="60"/>
      <c r="Q967" s="13"/>
      <c r="R967" s="14"/>
      <c r="S967" s="14"/>
      <c r="T967" s="14"/>
      <c r="U967" s="14"/>
      <c r="V967" s="14"/>
      <c r="W967" s="14"/>
      <c r="X967" s="15"/>
      <c r="Y967" s="14"/>
      <c r="Z967" s="16"/>
      <c r="AA967" s="14"/>
      <c r="AB967" s="14"/>
      <c r="AC967" s="14"/>
      <c r="AD967" s="14"/>
      <c r="AE967" s="14"/>
      <c r="AF967" s="14"/>
      <c r="AG967" s="14"/>
      <c r="AH967" s="14"/>
    </row>
    <row r="968">
      <c r="M968" s="59"/>
      <c r="O968" s="60"/>
      <c r="Q968" s="13"/>
      <c r="R968" s="14"/>
      <c r="S968" s="14"/>
      <c r="T968" s="14"/>
      <c r="U968" s="14"/>
      <c r="V968" s="14"/>
      <c r="W968" s="14"/>
      <c r="X968" s="15"/>
      <c r="Y968" s="14"/>
      <c r="Z968" s="16"/>
      <c r="AA968" s="14"/>
      <c r="AB968" s="14"/>
      <c r="AC968" s="14"/>
      <c r="AD968" s="14"/>
      <c r="AE968" s="14"/>
      <c r="AF968" s="14"/>
      <c r="AG968" s="14"/>
      <c r="AH968" s="14"/>
    </row>
    <row r="969">
      <c r="M969" s="59"/>
      <c r="O969" s="60"/>
      <c r="Q969" s="13"/>
      <c r="R969" s="14"/>
      <c r="S969" s="14"/>
      <c r="T969" s="14"/>
      <c r="U969" s="14"/>
      <c r="V969" s="14"/>
      <c r="W969" s="14"/>
      <c r="X969" s="15"/>
      <c r="Y969" s="14"/>
      <c r="Z969" s="16"/>
      <c r="AA969" s="14"/>
      <c r="AB969" s="14"/>
      <c r="AC969" s="14"/>
      <c r="AD969" s="14"/>
      <c r="AE969" s="14"/>
      <c r="AF969" s="14"/>
      <c r="AG969" s="14"/>
      <c r="AH969" s="14"/>
    </row>
    <row r="970">
      <c r="M970" s="59"/>
      <c r="O970" s="60"/>
      <c r="Q970" s="13"/>
      <c r="R970" s="14"/>
      <c r="S970" s="14"/>
      <c r="T970" s="14"/>
      <c r="U970" s="14"/>
      <c r="V970" s="14"/>
      <c r="W970" s="14"/>
      <c r="X970" s="15"/>
      <c r="Y970" s="14"/>
      <c r="Z970" s="16"/>
      <c r="AA970" s="14"/>
      <c r="AB970" s="14"/>
      <c r="AC970" s="14"/>
      <c r="AD970" s="14"/>
      <c r="AE970" s="14"/>
      <c r="AF970" s="14"/>
      <c r="AG970" s="14"/>
      <c r="AH970" s="14"/>
    </row>
    <row r="971">
      <c r="M971" s="59"/>
      <c r="O971" s="60"/>
      <c r="Q971" s="13"/>
      <c r="R971" s="14"/>
      <c r="S971" s="14"/>
      <c r="T971" s="14"/>
      <c r="U971" s="14"/>
      <c r="V971" s="14"/>
      <c r="W971" s="14"/>
      <c r="X971" s="15"/>
      <c r="Y971" s="14"/>
      <c r="Z971" s="16"/>
      <c r="AA971" s="14"/>
      <c r="AB971" s="14"/>
      <c r="AC971" s="14"/>
      <c r="AD971" s="14"/>
      <c r="AE971" s="14"/>
      <c r="AF971" s="14"/>
      <c r="AG971" s="14"/>
      <c r="AH971" s="14"/>
    </row>
    <row r="972">
      <c r="M972" s="59"/>
      <c r="O972" s="60"/>
      <c r="Q972" s="13"/>
      <c r="R972" s="14"/>
      <c r="S972" s="14"/>
      <c r="T972" s="14"/>
      <c r="U972" s="14"/>
      <c r="V972" s="14"/>
      <c r="W972" s="14"/>
      <c r="X972" s="15"/>
      <c r="Y972" s="14"/>
      <c r="Z972" s="16"/>
      <c r="AA972" s="14"/>
      <c r="AB972" s="14"/>
      <c r="AC972" s="14"/>
      <c r="AD972" s="14"/>
      <c r="AE972" s="14"/>
      <c r="AF972" s="14"/>
      <c r="AG972" s="14"/>
      <c r="AH972" s="14"/>
    </row>
    <row r="973">
      <c r="M973" s="59"/>
      <c r="O973" s="60"/>
      <c r="Q973" s="13"/>
      <c r="R973" s="14"/>
      <c r="S973" s="14"/>
      <c r="T973" s="14"/>
      <c r="U973" s="14"/>
      <c r="V973" s="14"/>
      <c r="W973" s="14"/>
      <c r="X973" s="15"/>
      <c r="Y973" s="14"/>
      <c r="Z973" s="16"/>
      <c r="AA973" s="14"/>
      <c r="AB973" s="14"/>
      <c r="AC973" s="14"/>
      <c r="AD973" s="14"/>
      <c r="AE973" s="14"/>
      <c r="AF973" s="14"/>
      <c r="AG973" s="14"/>
      <c r="AH973" s="14"/>
    </row>
    <row r="974">
      <c r="M974" s="59"/>
      <c r="O974" s="60"/>
      <c r="Q974" s="13"/>
      <c r="R974" s="14"/>
      <c r="S974" s="14"/>
      <c r="T974" s="14"/>
      <c r="U974" s="14"/>
      <c r="V974" s="14"/>
      <c r="W974" s="14"/>
      <c r="X974" s="15"/>
      <c r="Y974" s="14"/>
      <c r="Z974" s="16"/>
      <c r="AA974" s="14"/>
      <c r="AB974" s="14"/>
      <c r="AC974" s="14"/>
      <c r="AD974" s="14"/>
      <c r="AE974" s="14"/>
      <c r="AF974" s="14"/>
      <c r="AG974" s="14"/>
      <c r="AH974" s="14"/>
    </row>
    <row r="975">
      <c r="M975" s="59"/>
      <c r="O975" s="60"/>
      <c r="Q975" s="13"/>
      <c r="R975" s="14"/>
      <c r="S975" s="14"/>
      <c r="T975" s="14"/>
      <c r="U975" s="14"/>
      <c r="V975" s="14"/>
      <c r="W975" s="14"/>
      <c r="X975" s="15"/>
      <c r="Y975" s="14"/>
      <c r="Z975" s="16"/>
      <c r="AA975" s="14"/>
      <c r="AB975" s="14"/>
      <c r="AC975" s="14"/>
      <c r="AD975" s="14"/>
      <c r="AE975" s="14"/>
      <c r="AF975" s="14"/>
      <c r="AG975" s="14"/>
      <c r="AH975" s="14"/>
    </row>
    <row r="976">
      <c r="M976" s="59"/>
      <c r="O976" s="60"/>
      <c r="Q976" s="13"/>
      <c r="R976" s="14"/>
      <c r="S976" s="14"/>
      <c r="T976" s="14"/>
      <c r="U976" s="14"/>
      <c r="V976" s="14"/>
      <c r="W976" s="14"/>
      <c r="X976" s="15"/>
      <c r="Y976" s="14"/>
      <c r="Z976" s="16"/>
      <c r="AA976" s="14"/>
      <c r="AB976" s="14"/>
      <c r="AC976" s="14"/>
      <c r="AD976" s="14"/>
      <c r="AE976" s="14"/>
      <c r="AF976" s="14"/>
      <c r="AG976" s="14"/>
      <c r="AH976" s="14"/>
    </row>
    <row r="977">
      <c r="M977" s="59"/>
      <c r="O977" s="60"/>
      <c r="Q977" s="13"/>
      <c r="R977" s="14"/>
      <c r="S977" s="14"/>
      <c r="T977" s="14"/>
      <c r="U977" s="14"/>
      <c r="V977" s="14"/>
      <c r="W977" s="14"/>
      <c r="X977" s="15"/>
      <c r="Y977" s="14"/>
      <c r="Z977" s="16"/>
      <c r="AA977" s="14"/>
      <c r="AB977" s="14"/>
      <c r="AC977" s="14"/>
      <c r="AD977" s="14"/>
      <c r="AE977" s="14"/>
      <c r="AF977" s="14"/>
      <c r="AG977" s="14"/>
      <c r="AH977" s="14"/>
    </row>
    <row r="978">
      <c r="M978" s="59"/>
      <c r="O978" s="60"/>
      <c r="Q978" s="13"/>
      <c r="R978" s="14"/>
      <c r="S978" s="14"/>
      <c r="T978" s="14"/>
      <c r="U978" s="14"/>
      <c r="V978" s="14"/>
      <c r="W978" s="14"/>
      <c r="X978" s="15"/>
      <c r="Y978" s="14"/>
      <c r="Z978" s="16"/>
      <c r="AA978" s="14"/>
      <c r="AB978" s="14"/>
      <c r="AC978" s="14"/>
      <c r="AD978" s="14"/>
      <c r="AE978" s="14"/>
      <c r="AF978" s="14"/>
      <c r="AG978" s="14"/>
      <c r="AH978" s="14"/>
    </row>
    <row r="979">
      <c r="M979" s="59"/>
      <c r="O979" s="60"/>
      <c r="Q979" s="13"/>
      <c r="R979" s="14"/>
      <c r="S979" s="14"/>
      <c r="T979" s="14"/>
      <c r="U979" s="14"/>
      <c r="V979" s="14"/>
      <c r="W979" s="14"/>
      <c r="X979" s="15"/>
      <c r="Y979" s="14"/>
      <c r="Z979" s="16"/>
      <c r="AA979" s="14"/>
      <c r="AB979" s="14"/>
      <c r="AC979" s="14"/>
      <c r="AD979" s="14"/>
      <c r="AE979" s="14"/>
      <c r="AF979" s="14"/>
      <c r="AG979" s="14"/>
      <c r="AH979" s="14"/>
    </row>
    <row r="980">
      <c r="M980" s="59"/>
      <c r="O980" s="60"/>
      <c r="Q980" s="13"/>
      <c r="R980" s="14"/>
      <c r="S980" s="14"/>
      <c r="T980" s="14"/>
      <c r="U980" s="14"/>
      <c r="V980" s="14"/>
      <c r="W980" s="14"/>
      <c r="X980" s="15"/>
      <c r="Y980" s="14"/>
      <c r="Z980" s="16"/>
      <c r="AA980" s="14"/>
      <c r="AB980" s="14"/>
      <c r="AC980" s="14"/>
      <c r="AD980" s="14"/>
      <c r="AE980" s="14"/>
      <c r="AF980" s="14"/>
      <c r="AG980" s="14"/>
      <c r="AH980" s="14"/>
    </row>
    <row r="981">
      <c r="M981" s="59"/>
      <c r="O981" s="60"/>
      <c r="Q981" s="13"/>
      <c r="R981" s="14"/>
      <c r="S981" s="14"/>
      <c r="T981" s="14"/>
      <c r="U981" s="14"/>
      <c r="V981" s="14"/>
      <c r="W981" s="14"/>
      <c r="X981" s="15"/>
      <c r="Y981" s="14"/>
      <c r="Z981" s="16"/>
      <c r="AA981" s="14"/>
      <c r="AB981" s="14"/>
      <c r="AC981" s="14"/>
      <c r="AD981" s="14"/>
      <c r="AE981" s="14"/>
      <c r="AF981" s="14"/>
      <c r="AG981" s="14"/>
      <c r="AH981" s="14"/>
    </row>
    <row r="982">
      <c r="M982" s="59"/>
      <c r="O982" s="60"/>
      <c r="Q982" s="13"/>
      <c r="R982" s="14"/>
      <c r="S982" s="14"/>
      <c r="T982" s="14"/>
      <c r="U982" s="14"/>
      <c r="V982" s="14"/>
      <c r="W982" s="14"/>
      <c r="X982" s="15"/>
      <c r="Y982" s="14"/>
      <c r="Z982" s="16"/>
      <c r="AA982" s="14"/>
      <c r="AB982" s="14"/>
      <c r="AC982" s="14"/>
      <c r="AD982" s="14"/>
      <c r="AE982" s="14"/>
      <c r="AF982" s="14"/>
      <c r="AG982" s="14"/>
      <c r="AH982" s="14"/>
    </row>
    <row r="983">
      <c r="M983" s="59"/>
      <c r="O983" s="60"/>
      <c r="Q983" s="13"/>
      <c r="R983" s="14"/>
      <c r="S983" s="14"/>
      <c r="T983" s="14"/>
      <c r="U983" s="14"/>
      <c r="V983" s="14"/>
      <c r="W983" s="14"/>
      <c r="X983" s="15"/>
      <c r="Y983" s="14"/>
      <c r="Z983" s="16"/>
      <c r="AA983" s="14"/>
      <c r="AB983" s="14"/>
      <c r="AC983" s="14"/>
      <c r="AD983" s="14"/>
      <c r="AE983" s="14"/>
      <c r="AF983" s="14"/>
      <c r="AG983" s="14"/>
      <c r="AH983" s="14"/>
    </row>
    <row r="984">
      <c r="M984" s="59"/>
      <c r="O984" s="60"/>
      <c r="Q984" s="13"/>
      <c r="R984" s="14"/>
      <c r="S984" s="14"/>
      <c r="T984" s="14"/>
      <c r="U984" s="14"/>
      <c r="V984" s="14"/>
      <c r="W984" s="14"/>
      <c r="X984" s="15"/>
      <c r="Y984" s="14"/>
      <c r="Z984" s="16"/>
      <c r="AA984" s="14"/>
      <c r="AB984" s="14"/>
      <c r="AC984" s="14"/>
      <c r="AD984" s="14"/>
      <c r="AE984" s="14"/>
      <c r="AF984" s="14"/>
      <c r="AG984" s="14"/>
      <c r="AH984" s="14"/>
    </row>
    <row r="985">
      <c r="M985" s="59"/>
      <c r="O985" s="60"/>
      <c r="Q985" s="13"/>
      <c r="R985" s="14"/>
      <c r="S985" s="14"/>
      <c r="T985" s="14"/>
      <c r="U985" s="14"/>
      <c r="V985" s="14"/>
      <c r="W985" s="14"/>
      <c r="X985" s="15"/>
      <c r="Y985" s="14"/>
      <c r="Z985" s="16"/>
      <c r="AA985" s="14"/>
      <c r="AB985" s="14"/>
      <c r="AC985" s="14"/>
      <c r="AD985" s="14"/>
      <c r="AE985" s="14"/>
      <c r="AF985" s="14"/>
      <c r="AG985" s="14"/>
      <c r="AH985" s="14"/>
    </row>
    <row r="986">
      <c r="M986" s="59"/>
      <c r="O986" s="60"/>
      <c r="Q986" s="13"/>
      <c r="R986" s="14"/>
      <c r="S986" s="14"/>
      <c r="T986" s="14"/>
      <c r="U986" s="14"/>
      <c r="V986" s="14"/>
      <c r="W986" s="14"/>
      <c r="X986" s="15"/>
      <c r="Y986" s="14"/>
      <c r="Z986" s="16"/>
      <c r="AA986" s="14"/>
      <c r="AB986" s="14"/>
      <c r="AC986" s="14"/>
      <c r="AD986" s="14"/>
      <c r="AE986" s="14"/>
      <c r="AF986" s="14"/>
      <c r="AG986" s="14"/>
      <c r="AH986" s="14"/>
    </row>
    <row r="987">
      <c r="M987" s="59"/>
      <c r="O987" s="60"/>
      <c r="Q987" s="13"/>
      <c r="R987" s="14"/>
      <c r="S987" s="14"/>
      <c r="T987" s="14"/>
      <c r="U987" s="14"/>
      <c r="V987" s="14"/>
      <c r="W987" s="14"/>
      <c r="X987" s="15"/>
      <c r="Y987" s="14"/>
      <c r="Z987" s="16"/>
      <c r="AA987" s="14"/>
      <c r="AB987" s="14"/>
      <c r="AC987" s="14"/>
      <c r="AD987" s="14"/>
      <c r="AE987" s="14"/>
      <c r="AF987" s="14"/>
      <c r="AG987" s="14"/>
      <c r="AH987" s="14"/>
    </row>
    <row r="988">
      <c r="M988" s="59"/>
      <c r="O988" s="60"/>
      <c r="Q988" s="13"/>
      <c r="R988" s="14"/>
      <c r="S988" s="14"/>
      <c r="T988" s="14"/>
      <c r="U988" s="14"/>
      <c r="V988" s="14"/>
      <c r="W988" s="14"/>
      <c r="X988" s="15"/>
      <c r="Y988" s="14"/>
      <c r="Z988" s="16"/>
      <c r="AA988" s="14"/>
      <c r="AB988" s="14"/>
      <c r="AC988" s="14"/>
      <c r="AD988" s="14"/>
      <c r="AE988" s="14"/>
      <c r="AF988" s="14"/>
      <c r="AG988" s="14"/>
      <c r="AH988" s="14"/>
    </row>
    <row r="989">
      <c r="M989" s="59"/>
      <c r="O989" s="60"/>
      <c r="Q989" s="13"/>
      <c r="R989" s="14"/>
      <c r="S989" s="14"/>
      <c r="T989" s="14"/>
      <c r="U989" s="14"/>
      <c r="V989" s="14"/>
      <c r="W989" s="14"/>
      <c r="X989" s="15"/>
      <c r="Y989" s="14"/>
      <c r="Z989" s="16"/>
      <c r="AA989" s="14"/>
      <c r="AB989" s="14"/>
      <c r="AC989" s="14"/>
      <c r="AD989" s="14"/>
      <c r="AE989" s="14"/>
      <c r="AF989" s="14"/>
      <c r="AG989" s="14"/>
      <c r="AH989" s="14"/>
    </row>
    <row r="990">
      <c r="M990" s="59"/>
      <c r="O990" s="60"/>
      <c r="Q990" s="13"/>
      <c r="R990" s="14"/>
      <c r="S990" s="14"/>
      <c r="T990" s="14"/>
      <c r="U990" s="14"/>
      <c r="V990" s="14"/>
      <c r="W990" s="14"/>
      <c r="X990" s="15"/>
      <c r="Y990" s="14"/>
      <c r="Z990" s="16"/>
      <c r="AA990" s="14"/>
      <c r="AB990" s="14"/>
      <c r="AC990" s="14"/>
      <c r="AD990" s="14"/>
      <c r="AE990" s="14"/>
      <c r="AF990" s="14"/>
      <c r="AG990" s="14"/>
      <c r="AH990" s="14"/>
    </row>
    <row r="991">
      <c r="M991" s="59"/>
      <c r="O991" s="60"/>
      <c r="Q991" s="13"/>
      <c r="R991" s="14"/>
      <c r="S991" s="14"/>
      <c r="T991" s="14"/>
      <c r="U991" s="14"/>
      <c r="V991" s="14"/>
      <c r="W991" s="14"/>
      <c r="X991" s="15"/>
      <c r="Y991" s="14"/>
      <c r="Z991" s="16"/>
      <c r="AA991" s="14"/>
      <c r="AB991" s="14"/>
      <c r="AC991" s="14"/>
      <c r="AD991" s="14"/>
      <c r="AE991" s="14"/>
      <c r="AF991" s="14"/>
      <c r="AG991" s="14"/>
      <c r="AH991" s="14"/>
    </row>
    <row r="992">
      <c r="M992" s="59"/>
      <c r="O992" s="60"/>
      <c r="Q992" s="13"/>
      <c r="R992" s="14"/>
      <c r="S992" s="14"/>
      <c r="T992" s="14"/>
      <c r="U992" s="14"/>
      <c r="V992" s="14"/>
      <c r="W992" s="14"/>
      <c r="X992" s="15"/>
      <c r="Y992" s="14"/>
      <c r="Z992" s="16"/>
      <c r="AA992" s="14"/>
      <c r="AB992" s="14"/>
      <c r="AC992" s="14"/>
      <c r="AD992" s="14"/>
      <c r="AE992" s="14"/>
      <c r="AF992" s="14"/>
      <c r="AG992" s="14"/>
      <c r="AH992" s="14"/>
    </row>
    <row r="993">
      <c r="M993" s="59"/>
      <c r="O993" s="60"/>
      <c r="Q993" s="13"/>
      <c r="R993" s="14"/>
      <c r="S993" s="14"/>
      <c r="T993" s="14"/>
      <c r="U993" s="14"/>
      <c r="V993" s="14"/>
      <c r="W993" s="14"/>
      <c r="X993" s="15"/>
      <c r="Y993" s="14"/>
      <c r="Z993" s="16"/>
      <c r="AA993" s="14"/>
      <c r="AB993" s="14"/>
      <c r="AC993" s="14"/>
      <c r="AD993" s="14"/>
      <c r="AE993" s="14"/>
      <c r="AF993" s="14"/>
      <c r="AG993" s="14"/>
      <c r="AH993" s="14"/>
    </row>
    <row r="994">
      <c r="M994" s="59"/>
      <c r="O994" s="60"/>
      <c r="Q994" s="13"/>
      <c r="R994" s="14"/>
      <c r="S994" s="14"/>
      <c r="T994" s="14"/>
      <c r="U994" s="14"/>
      <c r="V994" s="14"/>
      <c r="W994" s="14"/>
      <c r="X994" s="15"/>
      <c r="Y994" s="14"/>
      <c r="Z994" s="16"/>
      <c r="AA994" s="14"/>
      <c r="AB994" s="14"/>
      <c r="AC994" s="14"/>
      <c r="AD994" s="14"/>
      <c r="AE994" s="14"/>
      <c r="AF994" s="14"/>
      <c r="AG994" s="14"/>
      <c r="AH994" s="14"/>
    </row>
    <row r="995">
      <c r="M995" s="59"/>
      <c r="O995" s="60"/>
      <c r="Q995" s="13"/>
      <c r="R995" s="14"/>
      <c r="S995" s="14"/>
      <c r="T995" s="14"/>
      <c r="U995" s="14"/>
      <c r="V995" s="14"/>
      <c r="W995" s="14"/>
      <c r="X995" s="15"/>
      <c r="Y995" s="14"/>
      <c r="Z995" s="16"/>
      <c r="AA995" s="14"/>
      <c r="AB995" s="14"/>
      <c r="AC995" s="14"/>
      <c r="AD995" s="14"/>
      <c r="AE995" s="14"/>
      <c r="AF995" s="14"/>
      <c r="AG995" s="14"/>
      <c r="AH995" s="14"/>
    </row>
    <row r="996">
      <c r="M996" s="59"/>
      <c r="O996" s="60"/>
      <c r="Q996" s="13"/>
      <c r="R996" s="14"/>
      <c r="S996" s="14"/>
      <c r="T996" s="14"/>
      <c r="U996" s="14"/>
      <c r="V996" s="14"/>
      <c r="W996" s="14"/>
      <c r="X996" s="15"/>
      <c r="Y996" s="14"/>
      <c r="Z996" s="16"/>
      <c r="AA996" s="14"/>
      <c r="AB996" s="14"/>
      <c r="AC996" s="14"/>
      <c r="AD996" s="14"/>
      <c r="AE996" s="14"/>
      <c r="AF996" s="14"/>
      <c r="AG996" s="14"/>
      <c r="AH996" s="14"/>
    </row>
    <row r="997">
      <c r="M997" s="59"/>
      <c r="O997" s="60"/>
      <c r="Q997" s="13"/>
      <c r="R997" s="14"/>
      <c r="S997" s="14"/>
      <c r="T997" s="14"/>
      <c r="U997" s="14"/>
      <c r="V997" s="14"/>
      <c r="W997" s="14"/>
      <c r="X997" s="15"/>
      <c r="Y997" s="14"/>
      <c r="Z997" s="16"/>
      <c r="AA997" s="14"/>
      <c r="AB997" s="14"/>
      <c r="AC997" s="14"/>
      <c r="AD997" s="14"/>
      <c r="AE997" s="14"/>
      <c r="AF997" s="14"/>
      <c r="AG997" s="14"/>
      <c r="AH997" s="14"/>
    </row>
    <row r="998">
      <c r="M998" s="59"/>
      <c r="O998" s="60"/>
      <c r="Q998" s="13"/>
      <c r="R998" s="14"/>
      <c r="S998" s="14"/>
      <c r="T998" s="14"/>
      <c r="U998" s="14"/>
      <c r="V998" s="14"/>
      <c r="W998" s="14"/>
      <c r="X998" s="15"/>
      <c r="Y998" s="14"/>
      <c r="Z998" s="16"/>
      <c r="AA998" s="14"/>
      <c r="AB998" s="14"/>
      <c r="AC998" s="14"/>
      <c r="AD998" s="14"/>
      <c r="AE998" s="14"/>
      <c r="AF998" s="14"/>
      <c r="AG998" s="14"/>
      <c r="AH998" s="14"/>
    </row>
    <row r="999">
      <c r="M999" s="59"/>
      <c r="O999" s="60"/>
      <c r="Q999" s="13"/>
      <c r="R999" s="14"/>
      <c r="S999" s="14"/>
      <c r="T999" s="14"/>
      <c r="U999" s="14"/>
      <c r="V999" s="14"/>
      <c r="W999" s="14"/>
      <c r="X999" s="15"/>
      <c r="Y999" s="14"/>
      <c r="Z999" s="61"/>
      <c r="AA999" s="14"/>
      <c r="AB999" s="14"/>
      <c r="AC999" s="14"/>
      <c r="AD999" s="14"/>
      <c r="AE999" s="14"/>
      <c r="AF999" s="14"/>
      <c r="AG999" s="14"/>
      <c r="AH999" s="14"/>
    </row>
    <row r="1000">
      <c r="M1000" s="59"/>
      <c r="Z1000" s="59"/>
      <c r="AA1000" s="14"/>
      <c r="AB1000" s="14"/>
      <c r="AC1000" s="14"/>
      <c r="AD1000" s="14"/>
      <c r="AE1000" s="14"/>
      <c r="AF1000" s="14"/>
      <c r="AG1000" s="14"/>
      <c r="AH1000" s="14"/>
    </row>
  </sheetData>
  <hyperlinks>
    <hyperlink r:id="rId4" ref="M2"/>
    <hyperlink r:id="rId5" ref="M3"/>
    <hyperlink r:id="rId6" ref="M4"/>
    <hyperlink r:id="rId7" ref="M5"/>
    <hyperlink r:id="rId8" ref="M6"/>
    <hyperlink r:id="rId9" ref="M7"/>
    <hyperlink r:id="rId10" ref="M8"/>
    <hyperlink r:id="rId11" ref="M9"/>
    <hyperlink r:id="rId12" ref="M10"/>
    <hyperlink r:id="rId13" ref="M11"/>
    <hyperlink r:id="rId14" ref="M12"/>
    <hyperlink r:id="rId15" ref="M13"/>
    <hyperlink r:id="rId16" ref="M14"/>
    <hyperlink r:id="rId17" ref="M15"/>
    <hyperlink r:id="rId18" ref="M16"/>
    <hyperlink r:id="rId19" ref="M17"/>
    <hyperlink r:id="rId20" ref="M18"/>
    <hyperlink r:id="rId21" ref="M19"/>
    <hyperlink r:id="rId22" ref="M20"/>
    <hyperlink r:id="rId23" ref="M21"/>
    <hyperlink r:id="rId24" ref="M22"/>
    <hyperlink r:id="rId25" ref="M23"/>
    <hyperlink r:id="rId26" ref="M24"/>
    <hyperlink r:id="rId27" ref="M25"/>
    <hyperlink r:id="rId28" ref="M26"/>
    <hyperlink r:id="rId29" ref="M27"/>
    <hyperlink r:id="rId30" ref="M28"/>
    <hyperlink r:id="rId31" ref="M29"/>
    <hyperlink r:id="rId32" ref="M30"/>
    <hyperlink r:id="rId33" ref="M31"/>
    <hyperlink r:id="rId34" ref="M32"/>
    <hyperlink r:id="rId35" ref="M33"/>
    <hyperlink r:id="rId36" ref="M34"/>
    <hyperlink r:id="rId37" ref="M35"/>
    <hyperlink r:id="rId38" ref="M36"/>
    <hyperlink r:id="rId39" ref="M37"/>
    <hyperlink r:id="rId40" ref="M38"/>
    <hyperlink r:id="rId41" ref="M39"/>
    <hyperlink r:id="rId42" ref="M40"/>
    <hyperlink r:id="rId43" ref="M41"/>
    <hyperlink r:id="rId44" ref="M42"/>
    <hyperlink r:id="rId45" ref="M43"/>
    <hyperlink r:id="rId46" ref="M44"/>
    <hyperlink r:id="rId47" ref="M45"/>
    <hyperlink r:id="rId48" ref="M46"/>
    <hyperlink r:id="rId49" ref="M47"/>
    <hyperlink r:id="rId50" ref="M48"/>
    <hyperlink r:id="rId51" ref="M49"/>
    <hyperlink r:id="rId52" ref="M50"/>
    <hyperlink r:id="rId53" ref="M51"/>
    <hyperlink r:id="rId54" ref="M52"/>
    <hyperlink r:id="rId55" ref="M53"/>
    <hyperlink r:id="rId56" ref="M54"/>
    <hyperlink r:id="rId57" ref="M55"/>
    <hyperlink r:id="rId58" ref="M56"/>
    <hyperlink r:id="rId59" ref="M57"/>
    <hyperlink r:id="rId60" ref="M58"/>
    <hyperlink r:id="rId61" ref="M59"/>
    <hyperlink r:id="rId62" ref="M60"/>
    <hyperlink r:id="rId63" ref="M61"/>
    <hyperlink r:id="rId64" ref="M62"/>
    <hyperlink r:id="rId65" ref="M63"/>
    <hyperlink r:id="rId66" ref="M64"/>
    <hyperlink r:id="rId67" ref="M65"/>
    <hyperlink r:id="rId68" ref="M66"/>
    <hyperlink r:id="rId69" ref="M67"/>
    <hyperlink r:id="rId70" ref="M68"/>
    <hyperlink r:id="rId71" ref="M69"/>
    <hyperlink r:id="rId72" ref="M70"/>
    <hyperlink r:id="rId73" ref="M71"/>
    <hyperlink r:id="rId74" ref="M72"/>
    <hyperlink r:id="rId75" ref="M73"/>
    <hyperlink r:id="rId76" ref="M74"/>
    <hyperlink r:id="rId77" ref="M75"/>
    <hyperlink r:id="rId78" ref="M76"/>
    <hyperlink r:id="rId79" ref="M77"/>
    <hyperlink r:id="rId80" ref="M78"/>
    <hyperlink r:id="rId81" ref="M79"/>
    <hyperlink r:id="rId82" ref="M80"/>
    <hyperlink r:id="rId83" ref="M81"/>
    <hyperlink r:id="rId84" ref="M82"/>
    <hyperlink r:id="rId85" ref="M83"/>
    <hyperlink r:id="rId86" ref="M84"/>
    <hyperlink r:id="rId87" ref="M85"/>
    <hyperlink r:id="rId88" ref="M86"/>
    <hyperlink r:id="rId89" ref="M87"/>
    <hyperlink r:id="rId90" ref="M88"/>
    <hyperlink r:id="rId91" ref="M89"/>
    <hyperlink r:id="rId92" ref="M90"/>
    <hyperlink r:id="rId93" ref="M91"/>
    <hyperlink r:id="rId94" ref="M92"/>
    <hyperlink r:id="rId95" ref="M93"/>
    <hyperlink r:id="rId96" ref="M94"/>
    <hyperlink r:id="rId97" ref="M95"/>
    <hyperlink r:id="rId98" ref="M96"/>
    <hyperlink r:id="rId99" ref="M97"/>
    <hyperlink r:id="rId100" ref="M98"/>
    <hyperlink r:id="rId101" ref="M99"/>
    <hyperlink r:id="rId102" ref="M100"/>
    <hyperlink r:id="rId103" ref="M101"/>
    <hyperlink r:id="rId104" ref="M102"/>
    <hyperlink r:id="rId105" ref="M103"/>
    <hyperlink r:id="rId106" ref="M104"/>
    <hyperlink r:id="rId107" ref="M105"/>
    <hyperlink r:id="rId108" ref="M106"/>
    <hyperlink r:id="rId109" ref="M107"/>
    <hyperlink r:id="rId110" ref="M108"/>
    <hyperlink r:id="rId111" ref="M109"/>
    <hyperlink r:id="rId112" ref="M110"/>
    <hyperlink r:id="rId113" ref="M111"/>
    <hyperlink r:id="rId114" ref="M112"/>
    <hyperlink r:id="rId115" ref="M113"/>
    <hyperlink r:id="rId116" ref="M114"/>
    <hyperlink r:id="rId117" ref="M115"/>
    <hyperlink r:id="rId118" ref="M116"/>
    <hyperlink r:id="rId119" ref="M117"/>
    <hyperlink r:id="rId120" ref="M118"/>
    <hyperlink r:id="rId121" ref="M119"/>
    <hyperlink r:id="rId122" ref="M120"/>
    <hyperlink r:id="rId123" ref="M121"/>
    <hyperlink r:id="rId124" ref="M122"/>
    <hyperlink r:id="rId125" ref="M123"/>
    <hyperlink r:id="rId126" ref="M124"/>
    <hyperlink r:id="rId127" ref="M125"/>
    <hyperlink r:id="rId128" ref="M126"/>
    <hyperlink r:id="rId129" ref="M127"/>
    <hyperlink r:id="rId130" ref="M128"/>
    <hyperlink r:id="rId131" ref="M129"/>
    <hyperlink r:id="rId132" ref="M130"/>
    <hyperlink r:id="rId133" ref="M131"/>
    <hyperlink r:id="rId134" ref="M132"/>
    <hyperlink r:id="rId135" ref="M133"/>
    <hyperlink r:id="rId136" ref="M134"/>
    <hyperlink r:id="rId137" ref="M135"/>
    <hyperlink r:id="rId138" ref="M136"/>
    <hyperlink r:id="rId139" ref="M137"/>
    <hyperlink r:id="rId140" ref="M138"/>
    <hyperlink r:id="rId141" ref="M139"/>
    <hyperlink r:id="rId142" ref="M140"/>
    <hyperlink r:id="rId143" ref="M141"/>
    <hyperlink r:id="rId144" ref="M142"/>
    <hyperlink r:id="rId145" ref="M143"/>
    <hyperlink r:id="rId146" ref="M144"/>
    <hyperlink r:id="rId147" ref="M145"/>
    <hyperlink r:id="rId148" ref="M146"/>
    <hyperlink r:id="rId149" ref="M147"/>
    <hyperlink r:id="rId150" ref="M148"/>
    <hyperlink r:id="rId151" ref="M149"/>
    <hyperlink r:id="rId152" ref="M150"/>
    <hyperlink r:id="rId153" ref="M151"/>
    <hyperlink r:id="rId154" ref="M152"/>
    <hyperlink r:id="rId155" ref="M153"/>
    <hyperlink r:id="rId156" ref="M154"/>
    <hyperlink r:id="rId157" ref="M155"/>
    <hyperlink r:id="rId158" ref="M156"/>
    <hyperlink r:id="rId159" ref="M157"/>
    <hyperlink r:id="rId160" ref="M158"/>
    <hyperlink r:id="rId161" ref="M159"/>
    <hyperlink r:id="rId162" ref="M160"/>
    <hyperlink r:id="rId163" ref="M161"/>
    <hyperlink r:id="rId164" ref="M162"/>
    <hyperlink r:id="rId165" ref="M163"/>
    <hyperlink r:id="rId166" ref="M164"/>
    <hyperlink r:id="rId167" ref="M165"/>
    <hyperlink r:id="rId168" ref="M166"/>
    <hyperlink r:id="rId169" ref="M167"/>
    <hyperlink r:id="rId170" ref="M168"/>
    <hyperlink r:id="rId171" ref="M169"/>
    <hyperlink r:id="rId172" ref="M170"/>
    <hyperlink r:id="rId173" ref="M171"/>
    <hyperlink r:id="rId174" ref="M172"/>
    <hyperlink r:id="rId175" ref="M173"/>
    <hyperlink r:id="rId176" ref="M174"/>
    <hyperlink r:id="rId177" ref="M175"/>
    <hyperlink r:id="rId178" ref="M176"/>
    <hyperlink r:id="rId179" ref="M177"/>
    <hyperlink r:id="rId180" ref="M178"/>
    <hyperlink r:id="rId181" ref="M179"/>
    <hyperlink r:id="rId182" ref="M180"/>
    <hyperlink r:id="rId183" ref="M181"/>
    <hyperlink r:id="rId184" ref="M182"/>
    <hyperlink r:id="rId185" ref="M183"/>
    <hyperlink r:id="rId186" ref="M184"/>
    <hyperlink r:id="rId187" ref="M185"/>
    <hyperlink r:id="rId188" ref="M186"/>
    <hyperlink r:id="rId189" ref="M187"/>
    <hyperlink r:id="rId190" ref="M188"/>
    <hyperlink r:id="rId191" ref="M189"/>
    <hyperlink r:id="rId192" ref="M190"/>
    <hyperlink r:id="rId193" ref="M191"/>
    <hyperlink r:id="rId194" ref="M192"/>
    <hyperlink r:id="rId195" ref="M193"/>
    <hyperlink r:id="rId196" ref="M194"/>
    <hyperlink r:id="rId197" ref="M195"/>
    <hyperlink r:id="rId198" ref="M196"/>
    <hyperlink r:id="rId199" ref="M197"/>
    <hyperlink r:id="rId200" ref="M198"/>
    <hyperlink r:id="rId201" ref="M199"/>
    <hyperlink r:id="rId202" ref="M200"/>
    <hyperlink r:id="rId203" ref="M201"/>
    <hyperlink r:id="rId204" ref="M202"/>
    <hyperlink r:id="rId205" ref="M203"/>
    <hyperlink r:id="rId206" ref="M204"/>
    <hyperlink r:id="rId207" ref="M205"/>
    <hyperlink r:id="rId208" ref="M206"/>
    <hyperlink r:id="rId209" ref="M207"/>
    <hyperlink r:id="rId210" ref="M208"/>
    <hyperlink r:id="rId211" ref="M209"/>
    <hyperlink r:id="rId212" ref="M210"/>
    <hyperlink r:id="rId213" ref="M211"/>
    <hyperlink r:id="rId214" ref="M212"/>
    <hyperlink r:id="rId215" ref="M213"/>
    <hyperlink r:id="rId216" ref="M214"/>
    <hyperlink r:id="rId217" ref="M215"/>
    <hyperlink r:id="rId218" ref="M216"/>
    <hyperlink r:id="rId219" ref="M217"/>
    <hyperlink r:id="rId220" ref="M218"/>
    <hyperlink r:id="rId221" ref="M219"/>
    <hyperlink r:id="rId222" ref="M220"/>
    <hyperlink r:id="rId223" ref="M221"/>
    <hyperlink r:id="rId224" ref="M222"/>
    <hyperlink r:id="rId225" ref="M223"/>
    <hyperlink r:id="rId226" ref="M224"/>
    <hyperlink r:id="rId227" ref="M225"/>
    <hyperlink r:id="rId228" ref="M226"/>
    <hyperlink r:id="rId229" ref="M227"/>
    <hyperlink r:id="rId230" ref="M228"/>
    <hyperlink r:id="rId231" ref="M229"/>
    <hyperlink r:id="rId232" ref="M230"/>
    <hyperlink r:id="rId233" ref="M231"/>
    <hyperlink r:id="rId234" ref="M232"/>
    <hyperlink r:id="rId235" ref="M233"/>
    <hyperlink r:id="rId236" ref="M234"/>
    <hyperlink r:id="rId237" ref="M235"/>
    <hyperlink r:id="rId238" ref="M236"/>
    <hyperlink r:id="rId239" ref="M237"/>
    <hyperlink r:id="rId240" ref="M238"/>
    <hyperlink r:id="rId241" ref="M239"/>
    <hyperlink r:id="rId242" ref="M240"/>
    <hyperlink r:id="rId243" ref="M241"/>
    <hyperlink r:id="rId244" ref="M242"/>
    <hyperlink r:id="rId245" ref="M243"/>
    <hyperlink r:id="rId246" ref="M244"/>
    <hyperlink r:id="rId247" ref="M245"/>
    <hyperlink r:id="rId248" ref="M246"/>
    <hyperlink r:id="rId249" ref="M247"/>
    <hyperlink r:id="rId250" ref="M248"/>
    <hyperlink r:id="rId251" ref="M249"/>
    <hyperlink r:id="rId252" ref="M250"/>
    <hyperlink r:id="rId253" ref="M251"/>
    <hyperlink r:id="rId254" ref="M252"/>
    <hyperlink r:id="rId255" ref="M253"/>
    <hyperlink r:id="rId256" ref="M254"/>
    <hyperlink r:id="rId257" ref="M255"/>
    <hyperlink r:id="rId258" ref="M256"/>
    <hyperlink r:id="rId259" ref="M257"/>
    <hyperlink r:id="rId260" ref="M258"/>
    <hyperlink r:id="rId261" ref="M259"/>
    <hyperlink r:id="rId262" ref="M260"/>
    <hyperlink r:id="rId263" ref="M261"/>
    <hyperlink r:id="rId264" ref="M262"/>
    <hyperlink r:id="rId265" ref="M263"/>
    <hyperlink r:id="rId266" ref="M264"/>
    <hyperlink r:id="rId267" ref="M265"/>
    <hyperlink r:id="rId268" ref="M266"/>
    <hyperlink r:id="rId269" ref="M267"/>
    <hyperlink r:id="rId270" ref="M268"/>
    <hyperlink r:id="rId271" ref="M269"/>
    <hyperlink r:id="rId272" ref="M270"/>
    <hyperlink r:id="rId273" ref="M271"/>
    <hyperlink r:id="rId274" ref="M272"/>
    <hyperlink r:id="rId275" ref="M273"/>
    <hyperlink r:id="rId276" ref="M274"/>
    <hyperlink r:id="rId277" ref="M275"/>
    <hyperlink r:id="rId278" ref="M276"/>
    <hyperlink r:id="rId279" ref="M277"/>
    <hyperlink r:id="rId280" ref="M278"/>
    <hyperlink r:id="rId281" ref="M279"/>
    <hyperlink r:id="rId282" ref="M280"/>
    <hyperlink r:id="rId283" ref="M281"/>
    <hyperlink r:id="rId284" ref="M282"/>
    <hyperlink r:id="rId285" ref="M283"/>
    <hyperlink r:id="rId286" ref="M284"/>
    <hyperlink r:id="rId287" ref="M285"/>
    <hyperlink r:id="rId288" ref="M286"/>
    <hyperlink r:id="rId289" ref="M287"/>
    <hyperlink r:id="rId290" ref="M288"/>
    <hyperlink r:id="rId291" ref="M289"/>
    <hyperlink r:id="rId292" ref="M290"/>
    <hyperlink r:id="rId293" ref="M291"/>
    <hyperlink r:id="rId294" ref="M292"/>
    <hyperlink r:id="rId295" ref="M293"/>
    <hyperlink r:id="rId296" ref="M294"/>
    <hyperlink r:id="rId297" ref="M295"/>
    <hyperlink r:id="rId298" ref="M296"/>
    <hyperlink r:id="rId299" ref="M297"/>
    <hyperlink r:id="rId300" ref="M298"/>
    <hyperlink r:id="rId301" ref="M299"/>
    <hyperlink r:id="rId302" ref="M300"/>
    <hyperlink r:id="rId303" ref="M301"/>
    <hyperlink r:id="rId304" ref="M302"/>
    <hyperlink r:id="rId305" ref="M303"/>
  </hyperlinks>
  <drawing r:id="rId306"/>
  <legacyDrawing r:id="rId307"/>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46.75"/>
  </cols>
  <sheetData>
    <row r="1">
      <c r="C1" s="62" t="s">
        <v>1365</v>
      </c>
      <c r="D1" s="62" t="s">
        <v>1366</v>
      </c>
      <c r="E1" s="62" t="s">
        <v>1367</v>
      </c>
      <c r="F1" s="62" t="s">
        <v>1368</v>
      </c>
      <c r="G1" s="62" t="s">
        <v>1369</v>
      </c>
      <c r="H1" s="62" t="s">
        <v>1370</v>
      </c>
      <c r="I1" s="62" t="s">
        <v>1371</v>
      </c>
      <c r="J1" s="62" t="s">
        <v>1372</v>
      </c>
      <c r="K1" s="62" t="s">
        <v>1373</v>
      </c>
    </row>
    <row r="2">
      <c r="A2" s="32"/>
      <c r="B2" s="32">
        <v>1.0</v>
      </c>
      <c r="C2" s="35">
        <v>6570.0</v>
      </c>
      <c r="D2" s="32">
        <v>0.18</v>
      </c>
      <c r="E2" s="32">
        <v>77.9</v>
      </c>
      <c r="F2" s="32">
        <v>0.0</v>
      </c>
      <c r="G2" s="32">
        <v>0.07</v>
      </c>
      <c r="H2" s="32">
        <v>5.11</v>
      </c>
      <c r="I2" s="32">
        <v>4.7</v>
      </c>
      <c r="J2" s="32">
        <v>0.0</v>
      </c>
      <c r="K2" s="32">
        <v>0.0</v>
      </c>
    </row>
    <row r="3">
      <c r="A3" s="63"/>
      <c r="B3" s="32">
        <v>2.0</v>
      </c>
      <c r="C3" s="32">
        <v>5700.0</v>
      </c>
      <c r="D3" s="32">
        <v>0.3</v>
      </c>
      <c r="E3" s="32">
        <v>82.23</v>
      </c>
      <c r="F3" s="32">
        <v>0.0</v>
      </c>
      <c r="G3" s="32">
        <v>0.04</v>
      </c>
      <c r="H3" s="32">
        <v>1.11</v>
      </c>
      <c r="I3" s="32">
        <v>5.56</v>
      </c>
      <c r="J3" s="32">
        <v>0.0</v>
      </c>
      <c r="K3" s="32">
        <v>0.0</v>
      </c>
    </row>
    <row r="4">
      <c r="A4" s="63"/>
      <c r="B4" s="32">
        <v>3.0</v>
      </c>
      <c r="C4" s="32">
        <v>4186.0</v>
      </c>
      <c r="D4" s="32">
        <v>0.27</v>
      </c>
      <c r="E4" s="32">
        <v>93.49</v>
      </c>
      <c r="F4" s="32">
        <v>0.0</v>
      </c>
      <c r="G4" s="32">
        <v>0.41</v>
      </c>
      <c r="H4" s="32">
        <v>0.64</v>
      </c>
      <c r="I4" s="32">
        <v>1.49</v>
      </c>
      <c r="J4" s="32">
        <v>0.0</v>
      </c>
      <c r="K4" s="32">
        <v>0.0</v>
      </c>
    </row>
    <row r="5">
      <c r="A5" s="63"/>
      <c r="B5" s="32">
        <v>4.0</v>
      </c>
      <c r="C5" s="32">
        <v>7290.0</v>
      </c>
      <c r="D5" s="32">
        <v>0.01</v>
      </c>
      <c r="E5" s="32">
        <v>0.1</v>
      </c>
      <c r="F5" s="32">
        <v>0.0</v>
      </c>
      <c r="G5" s="32">
        <v>99.78</v>
      </c>
      <c r="H5" s="32">
        <v>0.01</v>
      </c>
      <c r="I5" s="32">
        <v>0.02</v>
      </c>
      <c r="J5" s="32">
        <v>0.0</v>
      </c>
      <c r="K5" s="32">
        <v>0.0</v>
      </c>
    </row>
    <row r="6">
      <c r="A6" s="63"/>
      <c r="B6" s="32">
        <v>5.0</v>
      </c>
      <c r="C6" s="32"/>
      <c r="D6" s="32"/>
      <c r="E6" s="32"/>
      <c r="F6" s="32"/>
      <c r="G6" s="32"/>
      <c r="H6" s="32"/>
      <c r="I6" s="32"/>
      <c r="J6" s="32"/>
      <c r="K6" s="32"/>
    </row>
    <row r="7" hidden="1">
      <c r="A7" s="63"/>
      <c r="B7" s="63"/>
    </row>
    <row r="8" hidden="1">
      <c r="A8" s="35"/>
      <c r="B8" s="63"/>
      <c r="C8" s="32"/>
      <c r="D8" s="32"/>
      <c r="E8" s="32"/>
      <c r="F8" s="32"/>
      <c r="G8" s="32"/>
      <c r="H8" s="32"/>
      <c r="I8" s="32"/>
      <c r="J8" s="32"/>
      <c r="K8" s="32"/>
    </row>
    <row r="9" hidden="1">
      <c r="A9" s="63"/>
      <c r="B9" s="63"/>
      <c r="C9" s="32"/>
      <c r="D9" s="32"/>
      <c r="E9" s="32"/>
      <c r="F9" s="32"/>
      <c r="G9" s="32"/>
      <c r="H9" s="32"/>
      <c r="I9" s="32"/>
      <c r="J9" s="32"/>
      <c r="K9" s="32"/>
    </row>
    <row r="10" hidden="1">
      <c r="A10" s="63"/>
      <c r="B10" s="63"/>
      <c r="C10" s="32"/>
      <c r="D10" s="32"/>
      <c r="E10" s="32"/>
      <c r="F10" s="32"/>
      <c r="G10" s="32"/>
      <c r="H10" s="32"/>
      <c r="I10" s="32"/>
      <c r="J10" s="32"/>
      <c r="K10" s="32"/>
    </row>
    <row r="11" hidden="1">
      <c r="A11" s="63"/>
      <c r="B11" s="63"/>
      <c r="C11" s="32"/>
      <c r="D11" s="32"/>
      <c r="E11" s="32"/>
      <c r="F11" s="32"/>
      <c r="G11" s="32"/>
      <c r="H11" s="32"/>
      <c r="I11" s="32"/>
      <c r="J11" s="32"/>
      <c r="K11" s="32"/>
    </row>
    <row r="12" hidden="1">
      <c r="A12" s="63"/>
      <c r="B12" s="63"/>
      <c r="C12" s="32"/>
      <c r="D12" s="32"/>
      <c r="E12" s="32"/>
      <c r="F12" s="32"/>
      <c r="G12" s="32"/>
      <c r="H12" s="32"/>
      <c r="I12" s="32"/>
      <c r="J12" s="32"/>
      <c r="K12" s="32"/>
    </row>
    <row r="13" hidden="1">
      <c r="A13" s="63"/>
      <c r="B13" s="63"/>
      <c r="C13" s="32"/>
      <c r="D13" s="32"/>
      <c r="E13" s="32"/>
      <c r="F13" s="32"/>
      <c r="G13" s="32"/>
      <c r="H13" s="32"/>
      <c r="I13" s="32"/>
      <c r="J13" s="32"/>
      <c r="K13" s="32"/>
    </row>
    <row r="14" hidden="1">
      <c r="A14" s="63"/>
      <c r="B14" s="63"/>
      <c r="C14" s="32"/>
      <c r="D14" s="32"/>
      <c r="E14" s="32"/>
      <c r="F14" s="32"/>
      <c r="G14" s="32"/>
      <c r="H14" s="32"/>
      <c r="I14" s="32"/>
      <c r="J14" s="32"/>
      <c r="K14" s="32"/>
    </row>
    <row r="15" hidden="1">
      <c r="A15" s="63"/>
      <c r="B15" s="63"/>
      <c r="C15" s="32"/>
      <c r="D15" s="32"/>
      <c r="E15" s="32"/>
      <c r="F15" s="32"/>
      <c r="G15" s="32"/>
      <c r="H15" s="32"/>
      <c r="I15" s="32"/>
      <c r="J15" s="32"/>
      <c r="K15" s="32"/>
    </row>
    <row r="16" hidden="1">
      <c r="A16" s="63"/>
      <c r="B16" s="63"/>
      <c r="C16" s="32"/>
      <c r="D16" s="32"/>
      <c r="E16" s="32"/>
      <c r="F16" s="32"/>
      <c r="G16" s="32"/>
      <c r="H16" s="32"/>
      <c r="I16" s="32"/>
      <c r="J16" s="32"/>
      <c r="K16" s="32"/>
    </row>
    <row r="17" hidden="1">
      <c r="A17" s="63"/>
      <c r="B17" s="63"/>
      <c r="C17" s="32"/>
      <c r="D17" s="32"/>
      <c r="E17" s="32"/>
      <c r="F17" s="32"/>
      <c r="G17" s="32"/>
      <c r="H17" s="32"/>
      <c r="I17" s="32"/>
      <c r="J17" s="32"/>
      <c r="K17" s="32"/>
    </row>
    <row r="18" hidden="1">
      <c r="A18" s="63"/>
      <c r="B18" s="63"/>
      <c r="C18" s="32"/>
      <c r="D18" s="32"/>
      <c r="E18" s="32"/>
      <c r="F18" s="32"/>
      <c r="G18" s="32"/>
      <c r="H18" s="32"/>
      <c r="I18" s="32"/>
      <c r="J18" s="32"/>
      <c r="K18" s="32"/>
    </row>
    <row r="19" hidden="1">
      <c r="A19" s="63"/>
      <c r="B19" s="63"/>
      <c r="C19" s="32"/>
      <c r="D19" s="32"/>
      <c r="E19" s="32"/>
      <c r="F19" s="32"/>
      <c r="G19" s="32"/>
      <c r="H19" s="32"/>
      <c r="I19" s="32"/>
      <c r="J19" s="32"/>
      <c r="K19" s="32"/>
    </row>
    <row r="20" hidden="1">
      <c r="A20" s="63"/>
      <c r="B20" s="63"/>
      <c r="C20" s="32"/>
      <c r="D20" s="32"/>
      <c r="E20" s="32"/>
      <c r="F20" s="32"/>
      <c r="G20" s="32"/>
      <c r="H20" s="32"/>
      <c r="I20" s="32"/>
      <c r="J20" s="32"/>
      <c r="K20" s="32"/>
    </row>
    <row r="21" hidden="1">
      <c r="A21" s="63"/>
      <c r="B21" s="63"/>
      <c r="C21" s="32"/>
      <c r="D21" s="32"/>
      <c r="E21" s="32"/>
      <c r="F21" s="32"/>
      <c r="G21" s="32"/>
      <c r="H21" s="32"/>
      <c r="I21" s="32"/>
      <c r="J21" s="32"/>
      <c r="K21" s="32"/>
    </row>
    <row r="22" hidden="1">
      <c r="A22" s="63"/>
      <c r="B22" s="63"/>
      <c r="C22" s="32"/>
      <c r="D22" s="32"/>
      <c r="E22" s="32"/>
      <c r="F22" s="32"/>
      <c r="G22" s="32"/>
      <c r="H22" s="32"/>
      <c r="I22" s="32"/>
      <c r="J22" s="32"/>
      <c r="K22" s="32"/>
    </row>
    <row r="23" hidden="1">
      <c r="A23" s="63"/>
      <c r="B23" s="63"/>
      <c r="C23" s="32"/>
      <c r="D23" s="32"/>
      <c r="E23" s="32"/>
      <c r="F23" s="32"/>
      <c r="G23" s="32"/>
      <c r="H23" s="32"/>
      <c r="I23" s="32"/>
      <c r="J23" s="32"/>
      <c r="K23" s="32"/>
    </row>
    <row r="24" hidden="1">
      <c r="A24" s="63"/>
      <c r="B24" s="63"/>
      <c r="C24" s="32"/>
      <c r="D24" s="32"/>
      <c r="E24" s="32"/>
      <c r="F24" s="32"/>
      <c r="G24" s="32"/>
      <c r="H24" s="32"/>
      <c r="I24" s="32"/>
      <c r="J24" s="32"/>
      <c r="K24" s="32"/>
    </row>
    <row r="25" hidden="1">
      <c r="A25" s="63"/>
      <c r="B25" s="63"/>
      <c r="C25" s="32"/>
      <c r="D25" s="32"/>
      <c r="E25" s="32"/>
      <c r="F25" s="32"/>
      <c r="G25" s="32"/>
      <c r="H25" s="32"/>
      <c r="I25" s="32"/>
      <c r="J25" s="32"/>
      <c r="K25" s="32"/>
    </row>
    <row r="26" hidden="1">
      <c r="A26" s="63"/>
      <c r="B26" s="63"/>
      <c r="C26" s="32"/>
      <c r="D26" s="32"/>
      <c r="E26" s="32"/>
      <c r="F26" s="32"/>
      <c r="G26" s="32"/>
      <c r="H26" s="32"/>
      <c r="I26" s="32"/>
      <c r="J26" s="32"/>
      <c r="K26" s="32"/>
    </row>
    <row r="27" hidden="1">
      <c r="A27" s="63"/>
      <c r="B27" s="63"/>
      <c r="C27" s="32"/>
      <c r="D27" s="32"/>
      <c r="E27" s="32"/>
      <c r="F27" s="32"/>
      <c r="G27" s="32"/>
      <c r="H27" s="32"/>
      <c r="I27" s="32"/>
      <c r="J27" s="32"/>
      <c r="K27" s="32"/>
    </row>
    <row r="28" hidden="1">
      <c r="A28" s="63"/>
      <c r="B28" s="63"/>
      <c r="C28" s="32"/>
      <c r="D28" s="32"/>
      <c r="E28" s="32"/>
      <c r="F28" s="32"/>
      <c r="G28" s="32"/>
      <c r="H28" s="32"/>
      <c r="I28" s="32"/>
      <c r="J28" s="32"/>
      <c r="K28" s="32"/>
    </row>
    <row r="29" hidden="1">
      <c r="A29" s="63"/>
      <c r="B29" s="63"/>
      <c r="C29" s="63"/>
      <c r="D29" s="63"/>
      <c r="E29" s="63"/>
      <c r="F29" s="63"/>
      <c r="G29" s="63"/>
      <c r="H29" s="63"/>
      <c r="I29" s="63"/>
      <c r="J29" s="63"/>
      <c r="K29" s="63"/>
    </row>
    <row r="30" hidden="1">
      <c r="A30" s="63"/>
      <c r="B30" s="63"/>
      <c r="C30" s="63"/>
      <c r="D30" s="63"/>
      <c r="E30" s="63"/>
      <c r="F30" s="63"/>
      <c r="G30" s="63"/>
      <c r="H30" s="63"/>
      <c r="I30" s="63"/>
      <c r="J30" s="63"/>
      <c r="K30" s="63"/>
    </row>
    <row r="31" hidden="1">
      <c r="A31" s="63"/>
      <c r="B31" s="63"/>
      <c r="C31" s="63"/>
      <c r="D31" s="63"/>
      <c r="E31" s="63"/>
      <c r="F31" s="63"/>
      <c r="G31" s="63"/>
      <c r="H31" s="63"/>
      <c r="I31" s="63"/>
      <c r="J31" s="63"/>
      <c r="K31" s="63"/>
    </row>
    <row r="32" hidden="1">
      <c r="A32" s="63"/>
      <c r="B32" s="63"/>
      <c r="C32" s="63"/>
      <c r="D32" s="63"/>
      <c r="E32" s="63"/>
      <c r="F32" s="63"/>
      <c r="G32" s="63"/>
      <c r="H32" s="63"/>
      <c r="I32" s="63"/>
      <c r="J32" s="63"/>
      <c r="K32" s="63"/>
    </row>
    <row r="33" hidden="1">
      <c r="A33" s="63"/>
      <c r="B33" s="63"/>
      <c r="C33" s="63"/>
      <c r="D33" s="63"/>
      <c r="E33" s="63"/>
      <c r="F33" s="63"/>
      <c r="G33" s="63"/>
      <c r="H33" s="63"/>
      <c r="I33" s="63"/>
      <c r="J33" s="63"/>
      <c r="K33" s="63"/>
    </row>
    <row r="34" hidden="1">
      <c r="A34" s="63"/>
      <c r="B34" s="63"/>
      <c r="C34" s="63"/>
      <c r="D34" s="63"/>
      <c r="E34" s="63"/>
      <c r="F34" s="63"/>
      <c r="G34" s="63"/>
      <c r="H34" s="63"/>
      <c r="I34" s="63"/>
      <c r="J34" s="63"/>
      <c r="K34" s="63"/>
    </row>
    <row r="35" hidden="1">
      <c r="A35" s="63"/>
      <c r="B35" s="63"/>
      <c r="C35" s="63"/>
      <c r="D35" s="63"/>
      <c r="E35" s="63"/>
      <c r="F35" s="63"/>
      <c r="G35" s="63"/>
      <c r="H35" s="63"/>
      <c r="I35" s="63"/>
      <c r="J35" s="63"/>
      <c r="K35" s="63"/>
    </row>
    <row r="36" hidden="1">
      <c r="A36" s="63"/>
      <c r="B36" s="63"/>
      <c r="C36" s="63"/>
      <c r="D36" s="63"/>
      <c r="E36" s="63"/>
      <c r="F36" s="63"/>
      <c r="G36" s="63"/>
      <c r="H36" s="63"/>
      <c r="I36" s="63"/>
      <c r="J36" s="63"/>
      <c r="K36" s="63"/>
    </row>
    <row r="37" hidden="1">
      <c r="A37" s="63"/>
      <c r="B37" s="63"/>
      <c r="C37" s="63"/>
      <c r="D37" s="63"/>
      <c r="E37" s="63"/>
      <c r="F37" s="63"/>
      <c r="G37" s="63"/>
      <c r="H37" s="63"/>
      <c r="I37" s="63"/>
      <c r="J37" s="63"/>
      <c r="K37" s="63"/>
    </row>
    <row r="38" hidden="1">
      <c r="A38" s="63"/>
      <c r="B38" s="63"/>
      <c r="C38" s="63"/>
      <c r="D38" s="63"/>
      <c r="E38" s="63"/>
      <c r="F38" s="63"/>
      <c r="G38" s="63"/>
      <c r="H38" s="63"/>
      <c r="I38" s="63"/>
      <c r="J38" s="63"/>
      <c r="K38" s="63"/>
    </row>
    <row r="39" hidden="1">
      <c r="A39" s="63"/>
      <c r="B39" s="63"/>
      <c r="C39" s="63"/>
      <c r="D39" s="63"/>
      <c r="E39" s="63"/>
      <c r="F39" s="63"/>
      <c r="G39" s="63"/>
      <c r="H39" s="63"/>
      <c r="I39" s="63"/>
      <c r="J39" s="63"/>
      <c r="K39" s="63"/>
    </row>
    <row r="40" hidden="1">
      <c r="A40" s="63"/>
      <c r="B40" s="63"/>
      <c r="C40" s="63"/>
      <c r="D40" s="63"/>
      <c r="E40" s="63"/>
      <c r="F40" s="63"/>
      <c r="G40" s="63"/>
      <c r="H40" s="63"/>
      <c r="I40" s="63"/>
      <c r="J40" s="63"/>
      <c r="K40" s="63"/>
    </row>
    <row r="41" hidden="1">
      <c r="A41" s="63"/>
      <c r="B41" s="63"/>
      <c r="C41" s="63"/>
      <c r="D41" s="63"/>
      <c r="E41" s="63"/>
      <c r="F41" s="63"/>
      <c r="G41" s="63"/>
      <c r="H41" s="63"/>
      <c r="I41" s="63"/>
      <c r="J41" s="63"/>
      <c r="K41" s="63"/>
    </row>
    <row r="42" hidden="1">
      <c r="A42" s="63"/>
      <c r="B42" s="63"/>
      <c r="C42" s="63"/>
      <c r="D42" s="63"/>
      <c r="E42" s="63"/>
      <c r="F42" s="63"/>
      <c r="G42" s="63"/>
      <c r="H42" s="63"/>
      <c r="I42" s="63"/>
      <c r="J42" s="63"/>
      <c r="K42" s="63"/>
    </row>
    <row r="43" hidden="1">
      <c r="A43" s="63"/>
      <c r="B43" s="63"/>
      <c r="C43" s="63"/>
      <c r="D43" s="63"/>
      <c r="E43" s="63"/>
      <c r="F43" s="63"/>
      <c r="G43" s="63"/>
      <c r="H43" s="63"/>
      <c r="I43" s="63"/>
      <c r="J43" s="63"/>
      <c r="K43" s="63"/>
    </row>
    <row r="44" hidden="1">
      <c r="A44" s="63"/>
      <c r="B44" s="63"/>
      <c r="C44" s="63"/>
      <c r="D44" s="63"/>
      <c r="E44" s="63"/>
      <c r="F44" s="63"/>
      <c r="G44" s="63"/>
      <c r="H44" s="63"/>
      <c r="I44" s="63"/>
      <c r="J44" s="63"/>
      <c r="K44" s="63"/>
    </row>
    <row r="45" hidden="1">
      <c r="A45" s="63"/>
      <c r="B45" s="63"/>
      <c r="C45" s="63"/>
      <c r="D45" s="63"/>
      <c r="E45" s="63"/>
      <c r="F45" s="63"/>
      <c r="G45" s="63"/>
      <c r="H45" s="63"/>
      <c r="I45" s="63"/>
      <c r="J45" s="63"/>
      <c r="K45" s="63"/>
    </row>
    <row r="46" hidden="1">
      <c r="A46" s="63"/>
      <c r="B46" s="63"/>
      <c r="C46" s="63"/>
      <c r="D46" s="63"/>
      <c r="E46" s="63"/>
      <c r="F46" s="63"/>
      <c r="G46" s="63"/>
      <c r="H46" s="63"/>
      <c r="I46" s="63"/>
      <c r="J46" s="63"/>
      <c r="K46" s="63"/>
    </row>
    <row r="47" hidden="1">
      <c r="A47" s="63"/>
      <c r="B47" s="63"/>
      <c r="C47" s="63"/>
      <c r="D47" s="63"/>
      <c r="E47" s="63"/>
      <c r="F47" s="63"/>
      <c r="G47" s="63"/>
      <c r="H47" s="63"/>
      <c r="I47" s="63"/>
      <c r="J47" s="63"/>
      <c r="K47" s="63"/>
    </row>
    <row r="48" hidden="1">
      <c r="A48" s="63"/>
      <c r="B48" s="63"/>
      <c r="C48" s="63"/>
      <c r="D48" s="63"/>
      <c r="E48" s="63"/>
      <c r="F48" s="63"/>
      <c r="G48" s="63"/>
      <c r="H48" s="63"/>
      <c r="I48" s="63"/>
      <c r="J48" s="63"/>
      <c r="K48" s="63"/>
    </row>
    <row r="49" hidden="1">
      <c r="A49" s="63"/>
      <c r="B49" s="63"/>
      <c r="C49" s="63"/>
      <c r="D49" s="63"/>
      <c r="E49" s="63"/>
      <c r="F49" s="63"/>
      <c r="G49" s="63"/>
      <c r="H49" s="63"/>
      <c r="I49" s="63"/>
      <c r="J49" s="63"/>
      <c r="K49" s="63"/>
    </row>
    <row r="50" hidden="1">
      <c r="A50" s="63"/>
      <c r="B50" s="63"/>
      <c r="C50" s="63"/>
      <c r="D50" s="63"/>
      <c r="E50" s="63"/>
      <c r="F50" s="63"/>
      <c r="G50" s="63"/>
      <c r="H50" s="63"/>
      <c r="I50" s="63"/>
      <c r="J50" s="63"/>
      <c r="K50" s="63"/>
    </row>
    <row r="51" hidden="1">
      <c r="A51" s="63"/>
      <c r="B51" s="63"/>
      <c r="C51" s="63"/>
      <c r="D51" s="63"/>
      <c r="E51" s="63"/>
      <c r="F51" s="63"/>
      <c r="G51" s="63"/>
      <c r="H51" s="63"/>
      <c r="I51" s="63"/>
      <c r="J51" s="63"/>
      <c r="K51" s="63"/>
    </row>
    <row r="52" hidden="1">
      <c r="A52" s="63"/>
      <c r="B52" s="63"/>
      <c r="C52" s="63"/>
      <c r="D52" s="63"/>
      <c r="E52" s="63"/>
      <c r="F52" s="63"/>
      <c r="G52" s="63"/>
      <c r="H52" s="63"/>
      <c r="I52" s="63"/>
      <c r="J52" s="63"/>
      <c r="K52" s="63"/>
    </row>
    <row r="53" hidden="1">
      <c r="A53" s="63"/>
      <c r="B53" s="63"/>
      <c r="C53" s="63"/>
      <c r="D53" s="63"/>
      <c r="E53" s="63"/>
      <c r="F53" s="63"/>
      <c r="G53" s="63"/>
      <c r="H53" s="63"/>
      <c r="I53" s="63"/>
      <c r="J53" s="63"/>
      <c r="K53" s="63"/>
    </row>
    <row r="54" hidden="1">
      <c r="A54" s="63"/>
      <c r="B54" s="63"/>
      <c r="C54" s="63"/>
      <c r="D54" s="63"/>
      <c r="E54" s="63"/>
      <c r="F54" s="63"/>
      <c r="G54" s="63"/>
      <c r="H54" s="63"/>
      <c r="I54" s="63"/>
      <c r="J54" s="63"/>
      <c r="K54" s="63"/>
    </row>
    <row r="55" hidden="1">
      <c r="A55" s="63"/>
      <c r="B55" s="63"/>
      <c r="C55" s="63"/>
      <c r="D55" s="63"/>
      <c r="E55" s="63"/>
      <c r="F55" s="63"/>
      <c r="G55" s="63"/>
      <c r="H55" s="63"/>
      <c r="I55" s="63"/>
      <c r="J55" s="63"/>
      <c r="K55" s="63"/>
    </row>
    <row r="56" hidden="1">
      <c r="A56" s="63"/>
      <c r="B56" s="63"/>
      <c r="C56" s="63"/>
      <c r="D56" s="63"/>
      <c r="E56" s="63"/>
      <c r="F56" s="63"/>
      <c r="G56" s="63"/>
      <c r="H56" s="63"/>
      <c r="I56" s="63"/>
      <c r="J56" s="63"/>
      <c r="K56" s="63"/>
    </row>
    <row r="57" hidden="1">
      <c r="A57" s="63"/>
      <c r="B57" s="63"/>
      <c r="C57" s="63"/>
      <c r="D57" s="63"/>
      <c r="E57" s="63"/>
      <c r="F57" s="63"/>
      <c r="G57" s="63"/>
      <c r="H57" s="63"/>
      <c r="I57" s="63"/>
      <c r="J57" s="63"/>
      <c r="K57" s="63"/>
    </row>
    <row r="58" hidden="1">
      <c r="A58" s="63"/>
      <c r="B58" s="63"/>
      <c r="C58" s="63"/>
      <c r="D58" s="63"/>
      <c r="E58" s="63"/>
      <c r="F58" s="63"/>
      <c r="G58" s="63"/>
      <c r="H58" s="63"/>
      <c r="I58" s="63"/>
      <c r="J58" s="63"/>
      <c r="K58" s="63"/>
    </row>
    <row r="59" hidden="1">
      <c r="A59" s="63"/>
      <c r="B59" s="63"/>
      <c r="C59" s="63"/>
      <c r="D59" s="63"/>
      <c r="E59" s="63"/>
      <c r="F59" s="63"/>
      <c r="G59" s="63"/>
      <c r="H59" s="63"/>
      <c r="I59" s="63"/>
      <c r="J59" s="63"/>
      <c r="K59" s="63"/>
    </row>
    <row r="60" hidden="1">
      <c r="A60" s="63"/>
      <c r="B60" s="63"/>
      <c r="C60" s="63"/>
      <c r="D60" s="63"/>
      <c r="E60" s="63"/>
      <c r="F60" s="63"/>
      <c r="G60" s="63"/>
      <c r="H60" s="63"/>
      <c r="I60" s="63"/>
      <c r="J60" s="63"/>
      <c r="K60" s="63"/>
    </row>
    <row r="61" hidden="1">
      <c r="A61" s="63"/>
      <c r="B61" s="63"/>
      <c r="C61" s="63"/>
      <c r="D61" s="63"/>
      <c r="E61" s="63"/>
      <c r="F61" s="63"/>
      <c r="G61" s="63"/>
      <c r="H61" s="63"/>
      <c r="I61" s="63"/>
      <c r="J61" s="63"/>
      <c r="K61" s="63"/>
    </row>
    <row r="62" hidden="1">
      <c r="A62" s="63"/>
      <c r="B62" s="63"/>
      <c r="C62" s="63"/>
      <c r="D62" s="63"/>
      <c r="E62" s="63"/>
      <c r="F62" s="63"/>
      <c r="G62" s="63"/>
      <c r="H62" s="63"/>
      <c r="I62" s="63"/>
      <c r="J62" s="63"/>
      <c r="K62" s="63"/>
    </row>
    <row r="63" hidden="1">
      <c r="A63" s="63"/>
      <c r="B63" s="63"/>
      <c r="C63" s="63"/>
      <c r="D63" s="63"/>
      <c r="E63" s="63"/>
      <c r="F63" s="63"/>
      <c r="G63" s="63"/>
      <c r="H63" s="63"/>
      <c r="I63" s="63"/>
      <c r="J63" s="63"/>
      <c r="K63" s="63"/>
    </row>
    <row r="64" hidden="1">
      <c r="A64" s="63"/>
      <c r="B64" s="63"/>
      <c r="C64" s="63"/>
      <c r="D64" s="63"/>
      <c r="E64" s="63"/>
      <c r="F64" s="63"/>
      <c r="G64" s="63"/>
      <c r="H64" s="63"/>
      <c r="I64" s="63"/>
      <c r="J64" s="63"/>
      <c r="K64" s="63"/>
    </row>
    <row r="65" hidden="1">
      <c r="A65" s="63"/>
      <c r="B65" s="63"/>
      <c r="C65" s="63"/>
      <c r="D65" s="63"/>
      <c r="E65" s="63"/>
      <c r="F65" s="63"/>
      <c r="G65" s="63"/>
      <c r="H65" s="63"/>
      <c r="I65" s="63"/>
      <c r="J65" s="63"/>
      <c r="K65" s="63"/>
    </row>
    <row r="66" hidden="1">
      <c r="A66" s="63"/>
      <c r="B66" s="63"/>
      <c r="C66" s="63"/>
      <c r="D66" s="63"/>
      <c r="E66" s="63"/>
      <c r="F66" s="63"/>
      <c r="G66" s="63"/>
      <c r="H66" s="63"/>
      <c r="I66" s="63"/>
      <c r="J66" s="63"/>
      <c r="K66" s="63"/>
    </row>
    <row r="67" hidden="1">
      <c r="A67" s="63"/>
      <c r="B67" s="63"/>
      <c r="C67" s="63"/>
      <c r="D67" s="63"/>
      <c r="E67" s="63"/>
      <c r="F67" s="63"/>
      <c r="G67" s="63"/>
      <c r="H67" s="63"/>
      <c r="I67" s="63"/>
      <c r="J67" s="63"/>
      <c r="K67" s="63"/>
    </row>
    <row r="68" hidden="1">
      <c r="A68" s="63"/>
      <c r="B68" s="63"/>
      <c r="C68" s="63"/>
      <c r="D68" s="63"/>
      <c r="E68" s="63"/>
      <c r="F68" s="63"/>
      <c r="G68" s="63"/>
      <c r="H68" s="63"/>
      <c r="I68" s="63"/>
      <c r="J68" s="63"/>
      <c r="K68" s="63"/>
    </row>
    <row r="69" hidden="1">
      <c r="A69" s="63"/>
      <c r="B69" s="63"/>
      <c r="C69" s="63"/>
      <c r="D69" s="63"/>
      <c r="E69" s="63"/>
      <c r="F69" s="63"/>
      <c r="G69" s="63"/>
      <c r="H69" s="63"/>
      <c r="I69" s="63"/>
      <c r="J69" s="63"/>
      <c r="K69" s="63"/>
    </row>
    <row r="70" hidden="1">
      <c r="A70" s="63"/>
      <c r="B70" s="63"/>
      <c r="C70" s="63"/>
      <c r="D70" s="63"/>
      <c r="E70" s="63"/>
      <c r="F70" s="63"/>
      <c r="G70" s="63"/>
      <c r="H70" s="63"/>
      <c r="I70" s="63"/>
      <c r="J70" s="63"/>
      <c r="K70" s="63"/>
    </row>
    <row r="72">
      <c r="B72" s="11">
        <v>114329.0</v>
      </c>
      <c r="C72" s="64">
        <f t="shared" ref="C72:C73" si="2">sum(D72:K72)</f>
        <v>22180.938</v>
      </c>
      <c r="D72" s="14">
        <f t="shared" ref="D72:K72" si="1">SUMPRODUCT((D2:D70/100)*$C2:$C70)</f>
        <v>40.9572</v>
      </c>
      <c r="E72" s="14">
        <f t="shared" si="1"/>
        <v>13725.9214</v>
      </c>
      <c r="F72" s="14">
        <f t="shared" si="1"/>
        <v>0</v>
      </c>
      <c r="G72" s="14">
        <f t="shared" si="1"/>
        <v>7298.0036</v>
      </c>
      <c r="H72" s="14">
        <f t="shared" si="1"/>
        <v>426.5164</v>
      </c>
      <c r="I72" s="14">
        <f t="shared" si="1"/>
        <v>689.5394</v>
      </c>
      <c r="J72" s="14">
        <f t="shared" si="1"/>
        <v>0</v>
      </c>
      <c r="K72" s="14">
        <f t="shared" si="1"/>
        <v>0</v>
      </c>
      <c r="L72" s="14"/>
      <c r="M72" s="64"/>
    </row>
    <row r="73">
      <c r="A73" s="65" t="s">
        <v>1374</v>
      </c>
      <c r="B73" s="8" t="s">
        <v>1375</v>
      </c>
      <c r="C73" s="64">
        <f t="shared" si="2"/>
        <v>10.06105167</v>
      </c>
      <c r="D73" s="66">
        <f t="shared" ref="D73:K73" si="3">D72*0.00045359</f>
        <v>0.01857777635</v>
      </c>
      <c r="E73" s="66">
        <f t="shared" si="3"/>
        <v>6.225940688</v>
      </c>
      <c r="F73" s="66">
        <f t="shared" si="3"/>
        <v>0</v>
      </c>
      <c r="G73" s="66">
        <f t="shared" si="3"/>
        <v>3.310301453</v>
      </c>
      <c r="H73" s="66">
        <f t="shared" si="3"/>
        <v>0.1934635739</v>
      </c>
      <c r="I73" s="66">
        <f t="shared" si="3"/>
        <v>0.3127681764</v>
      </c>
      <c r="J73" s="66">
        <f t="shared" si="3"/>
        <v>0</v>
      </c>
      <c r="K73" s="66">
        <f t="shared" si="3"/>
        <v>0</v>
      </c>
      <c r="M73" s="64"/>
    </row>
    <row r="74">
      <c r="A74" s="8"/>
      <c r="B74" s="8"/>
      <c r="C74" s="64"/>
      <c r="D74" s="14"/>
      <c r="E74" s="14"/>
      <c r="F74" s="14"/>
      <c r="G74" s="14"/>
      <c r="H74" s="14"/>
      <c r="I74" s="14"/>
      <c r="M74" s="64"/>
    </row>
    <row r="75">
      <c r="A75" s="63"/>
      <c r="B75" s="32" t="s">
        <v>1376</v>
      </c>
      <c r="C75" s="35">
        <v>15105.0</v>
      </c>
      <c r="D75" s="32"/>
      <c r="E75" s="63"/>
      <c r="F75" s="63"/>
      <c r="G75" s="63"/>
      <c r="H75" s="63"/>
      <c r="I75" s="63"/>
      <c r="J75" s="63"/>
      <c r="K75" s="63"/>
    </row>
    <row r="76">
      <c r="A76" s="8" t="s">
        <v>1377</v>
      </c>
      <c r="B76" s="8" t="s">
        <v>1378</v>
      </c>
      <c r="C76" s="64">
        <f>sum(C78)</f>
        <v>85523.29278</v>
      </c>
      <c r="D76" s="14"/>
      <c r="E76" s="14"/>
      <c r="F76" s="14"/>
      <c r="G76" s="14"/>
      <c r="H76" s="14"/>
      <c r="I76" s="14"/>
      <c r="J76" s="14"/>
      <c r="K76" s="14"/>
      <c r="M76" s="64"/>
    </row>
    <row r="77">
      <c r="A77" s="8"/>
      <c r="B77" s="8"/>
      <c r="C77" s="64"/>
      <c r="D77" s="14"/>
      <c r="E77" s="14"/>
      <c r="F77" s="14"/>
      <c r="G77" s="14"/>
      <c r="H77" s="14"/>
      <c r="I77" s="14"/>
      <c r="J77" s="14"/>
      <c r="K77" s="14"/>
      <c r="M77" s="64"/>
    </row>
    <row r="78">
      <c r="A78" s="8" t="s">
        <v>1379</v>
      </c>
      <c r="B78" s="8" t="s">
        <v>1380</v>
      </c>
      <c r="C78" s="64">
        <f>sum(D78:K78)</f>
        <v>85523.29278</v>
      </c>
      <c r="D78" s="14">
        <f t="shared" ref="D78:K78" si="4">D73*D79*D80</f>
        <v>78.53754951</v>
      </c>
      <c r="E78" s="14">
        <f t="shared" si="4"/>
        <v>64469.61582</v>
      </c>
      <c r="F78" s="14">
        <f t="shared" si="4"/>
        <v>0</v>
      </c>
      <c r="G78" s="14">
        <f t="shared" si="4"/>
        <v>18060.01164</v>
      </c>
      <c r="H78" s="14">
        <f t="shared" si="4"/>
        <v>1509.015876</v>
      </c>
      <c r="I78" s="14">
        <f t="shared" si="4"/>
        <v>1406.111891</v>
      </c>
      <c r="J78" s="14">
        <f t="shared" si="4"/>
        <v>0</v>
      </c>
      <c r="K78" s="14">
        <f t="shared" si="4"/>
        <v>0</v>
      </c>
      <c r="M78" s="64"/>
    </row>
    <row r="79">
      <c r="A79" s="67" t="s">
        <v>1381</v>
      </c>
      <c r="B79" s="67" t="s">
        <v>1382</v>
      </c>
      <c r="C79" s="68"/>
      <c r="D79" s="67">
        <v>0.89</v>
      </c>
      <c r="E79" s="67">
        <v>0.95</v>
      </c>
      <c r="F79" s="67">
        <v>0.61</v>
      </c>
      <c r="G79" s="67">
        <v>0.89</v>
      </c>
      <c r="H79" s="67">
        <v>0.78</v>
      </c>
      <c r="I79" s="67">
        <v>0.61</v>
      </c>
      <c r="J79" s="68"/>
      <c r="K79" s="68"/>
    </row>
    <row r="80">
      <c r="A80" s="67" t="s">
        <v>1383</v>
      </c>
      <c r="B80" s="67" t="s">
        <v>1384</v>
      </c>
      <c r="C80" s="68"/>
      <c r="D80" s="67">
        <v>4750.0</v>
      </c>
      <c r="E80" s="67">
        <v>10900.0</v>
      </c>
      <c r="F80" s="67">
        <v>14400.0</v>
      </c>
      <c r="G80" s="67">
        <v>6130.0</v>
      </c>
      <c r="H80" s="67">
        <v>10000.0</v>
      </c>
      <c r="I80" s="67">
        <v>7370.0</v>
      </c>
      <c r="J80" s="67">
        <v>1810.0</v>
      </c>
      <c r="K80" s="67">
        <v>725.0</v>
      </c>
      <c r="M80" s="64"/>
    </row>
    <row r="82">
      <c r="A82" s="63"/>
      <c r="B82" s="32" t="s">
        <v>1385</v>
      </c>
      <c r="C82" s="35">
        <v>5540.0</v>
      </c>
      <c r="D82" s="63"/>
      <c r="E82" s="63"/>
      <c r="F82" s="63"/>
      <c r="G82" s="63"/>
      <c r="H82" s="63"/>
      <c r="I82" s="63"/>
      <c r="J82" s="63"/>
      <c r="K82" s="63"/>
    </row>
    <row r="83">
      <c r="A83" s="8" t="s">
        <v>1386</v>
      </c>
      <c r="B83" s="8" t="s">
        <v>1385</v>
      </c>
      <c r="C83" s="69">
        <f>sum(C85, C88)</f>
        <v>5562.597811</v>
      </c>
    </row>
    <row r="84">
      <c r="A84" s="8"/>
      <c r="B84" s="8"/>
      <c r="C84" s="51"/>
      <c r="D84" s="51"/>
      <c r="E84" s="51"/>
      <c r="F84" s="51"/>
      <c r="G84" s="51"/>
      <c r="H84" s="51"/>
      <c r="I84" s="51"/>
      <c r="J84" s="51"/>
      <c r="K84" s="51"/>
    </row>
    <row r="85">
      <c r="A85" s="8" t="s">
        <v>1387</v>
      </c>
      <c r="B85" s="8" t="s">
        <v>1388</v>
      </c>
      <c r="C85" s="51">
        <f>sum(D85:K85)</f>
        <v>5487.139924</v>
      </c>
      <c r="D85" s="51">
        <f t="shared" ref="D85:K85" si="5">D73*D86</f>
        <v>4.142844126</v>
      </c>
      <c r="E85" s="51">
        <f t="shared" si="5"/>
        <v>4270.995312</v>
      </c>
      <c r="F85" s="51">
        <f t="shared" si="5"/>
        <v>0</v>
      </c>
      <c r="G85" s="51">
        <f t="shared" si="5"/>
        <v>728.2663196</v>
      </c>
      <c r="H85" s="51">
        <f t="shared" si="5"/>
        <v>127.4924952</v>
      </c>
      <c r="I85" s="51">
        <f t="shared" si="5"/>
        <v>356.242953</v>
      </c>
      <c r="J85" s="51">
        <f t="shared" si="5"/>
        <v>0</v>
      </c>
      <c r="K85" s="51">
        <f t="shared" si="5"/>
        <v>0</v>
      </c>
    </row>
    <row r="86">
      <c r="A86" s="67" t="s">
        <v>1389</v>
      </c>
      <c r="B86" s="67" t="s">
        <v>1390</v>
      </c>
      <c r="C86" s="68"/>
      <c r="D86" s="67">
        <v>223.0</v>
      </c>
      <c r="E86" s="67">
        <v>686.0</v>
      </c>
      <c r="F86" s="67">
        <v>7144.0</v>
      </c>
      <c r="G86" s="67">
        <v>220.0</v>
      </c>
      <c r="H86" s="67">
        <v>659.0</v>
      </c>
      <c r="I86" s="67">
        <v>1139.0</v>
      </c>
      <c r="J86" s="68"/>
      <c r="K86" s="68"/>
    </row>
    <row r="87">
      <c r="A87" s="8"/>
      <c r="B87" s="8"/>
      <c r="C87" s="51"/>
    </row>
    <row r="88">
      <c r="A88" s="8" t="s">
        <v>1391</v>
      </c>
      <c r="B88" s="8" t="s">
        <v>1392</v>
      </c>
      <c r="C88" s="51">
        <f>C89*C90</f>
        <v>75.45788751</v>
      </c>
      <c r="D88" s="70">
        <f t="shared" ref="D88:K88" si="6">D89*$C90</f>
        <v>0.1393333226</v>
      </c>
      <c r="E88" s="70">
        <f t="shared" si="6"/>
        <v>46.69455516</v>
      </c>
      <c r="F88" s="70">
        <f t="shared" si="6"/>
        <v>0</v>
      </c>
      <c r="G88" s="70">
        <f t="shared" si="6"/>
        <v>24.8272609</v>
      </c>
      <c r="H88" s="70">
        <f t="shared" si="6"/>
        <v>1.450976804</v>
      </c>
      <c r="I88" s="70">
        <f t="shared" si="6"/>
        <v>2.345761323</v>
      </c>
      <c r="J88" s="70">
        <f t="shared" si="6"/>
        <v>0</v>
      </c>
      <c r="K88" s="70">
        <f t="shared" si="6"/>
        <v>0</v>
      </c>
    </row>
    <row r="89">
      <c r="A89" s="8" t="s">
        <v>1393</v>
      </c>
      <c r="B89" s="8" t="s">
        <v>1394</v>
      </c>
      <c r="C89" s="64">
        <f t="shared" ref="C89:K89" si="7">C73</f>
        <v>10.06105167</v>
      </c>
      <c r="D89" s="66">
        <f t="shared" si="7"/>
        <v>0.01857777635</v>
      </c>
      <c r="E89" s="66">
        <f t="shared" si="7"/>
        <v>6.225940688</v>
      </c>
      <c r="F89" s="66">
        <f t="shared" si="7"/>
        <v>0</v>
      </c>
      <c r="G89" s="66">
        <f t="shared" si="7"/>
        <v>3.310301453</v>
      </c>
      <c r="H89" s="66">
        <f t="shared" si="7"/>
        <v>0.1934635739</v>
      </c>
      <c r="I89" s="66">
        <f t="shared" si="7"/>
        <v>0.3127681764</v>
      </c>
      <c r="J89" s="66">
        <f t="shared" si="7"/>
        <v>0</v>
      </c>
      <c r="K89" s="66">
        <f t="shared" si="7"/>
        <v>0</v>
      </c>
    </row>
    <row r="90">
      <c r="A90" s="67" t="s">
        <v>1395</v>
      </c>
      <c r="B90" s="67" t="s">
        <v>1396</v>
      </c>
      <c r="C90" s="67">
        <v>7.5</v>
      </c>
      <c r="D90" s="68"/>
      <c r="E90" s="68"/>
      <c r="F90" s="68"/>
      <c r="G90" s="68"/>
      <c r="H90" s="68"/>
      <c r="I90" s="68"/>
      <c r="J90" s="68"/>
      <c r="K90" s="68"/>
    </row>
    <row r="91">
      <c r="A91" s="8"/>
      <c r="B91" s="8"/>
      <c r="C91" s="8"/>
    </row>
    <row r="92">
      <c r="B92" s="8"/>
    </row>
    <row r="93" ht="17.25" customHeight="1">
      <c r="A93" s="32" t="s">
        <v>1397</v>
      </c>
      <c r="B93" s="32" t="s">
        <v>1398</v>
      </c>
      <c r="C93" s="35">
        <v>79565.0</v>
      </c>
      <c r="D93" s="63"/>
      <c r="E93" s="63"/>
      <c r="F93" s="63"/>
      <c r="G93" s="63"/>
      <c r="H93" s="63"/>
      <c r="I93" s="63"/>
      <c r="J93" s="63"/>
      <c r="K93" s="63"/>
    </row>
    <row r="94">
      <c r="B94" s="8" t="s">
        <v>1399</v>
      </c>
      <c r="C94" s="64">
        <f t="shared" ref="C94:K94" si="8">C78-C85-C88</f>
        <v>79960.69496</v>
      </c>
      <c r="D94" s="14">
        <f t="shared" si="8"/>
        <v>74.25537206</v>
      </c>
      <c r="E94" s="14">
        <f t="shared" si="8"/>
        <v>60151.92596</v>
      </c>
      <c r="F94" s="14">
        <f t="shared" si="8"/>
        <v>0</v>
      </c>
      <c r="G94" s="14">
        <f t="shared" si="8"/>
        <v>17306.91806</v>
      </c>
      <c r="H94" s="14">
        <f t="shared" si="8"/>
        <v>1380.072404</v>
      </c>
      <c r="I94" s="14">
        <f t="shared" si="8"/>
        <v>1047.523177</v>
      </c>
      <c r="J94" s="14">
        <f t="shared" si="8"/>
        <v>0</v>
      </c>
      <c r="K94" s="14">
        <f t="shared" si="8"/>
        <v>0</v>
      </c>
    </row>
    <row r="95">
      <c r="B95" s="8" t="s">
        <v>1400</v>
      </c>
      <c r="C95" s="71">
        <f>abs(C94-C93)/C93</f>
        <v>0.004973228988</v>
      </c>
    </row>
    <row r="96">
      <c r="B96" s="1" t="s">
        <v>1401</v>
      </c>
      <c r="C96" s="72">
        <f t="shared" ref="C96:C97" si="10">sum(D96:K96)</f>
        <v>1</v>
      </c>
      <c r="D96" s="73">
        <f t="shared" ref="D96:K96" si="9">D94/$C94</f>
        <v>0.0009286484078</v>
      </c>
      <c r="E96" s="73">
        <f t="shared" si="9"/>
        <v>0.7522686738</v>
      </c>
      <c r="F96" s="73">
        <f t="shared" si="9"/>
        <v>0</v>
      </c>
      <c r="G96" s="73">
        <f t="shared" si="9"/>
        <v>0.2164428169</v>
      </c>
      <c r="H96" s="73">
        <f t="shared" si="9"/>
        <v>0.01725938481</v>
      </c>
      <c r="I96" s="73">
        <f t="shared" si="9"/>
        <v>0.01310047614</v>
      </c>
      <c r="J96" s="73">
        <f t="shared" si="9"/>
        <v>0</v>
      </c>
      <c r="K96" s="73">
        <f t="shared" si="9"/>
        <v>0</v>
      </c>
      <c r="M96" s="72"/>
      <c r="N96" s="74"/>
      <c r="O96" s="72"/>
      <c r="P96" s="72"/>
      <c r="Q96" s="72"/>
      <c r="R96" s="72"/>
      <c r="S96" s="72"/>
      <c r="T96" s="72"/>
    </row>
    <row r="97">
      <c r="B97" s="1" t="s">
        <v>1402</v>
      </c>
      <c r="C97" s="72">
        <f t="shared" si="10"/>
        <v>1</v>
      </c>
      <c r="D97" s="73">
        <f t="shared" ref="D97:K97" si="11">(D78*($C93/$C78))/$C93</f>
        <v>0.0009183176531</v>
      </c>
      <c r="E97" s="73">
        <f t="shared" si="11"/>
        <v>0.7538252297</v>
      </c>
      <c r="F97" s="73">
        <f t="shared" si="11"/>
        <v>0</v>
      </c>
      <c r="G97" s="73">
        <f t="shared" si="11"/>
        <v>0.211170677</v>
      </c>
      <c r="H97" s="73">
        <f t="shared" si="11"/>
        <v>0.0176445016</v>
      </c>
      <c r="I97" s="73">
        <f t="shared" si="11"/>
        <v>0.01644127401</v>
      </c>
      <c r="J97" s="73">
        <f t="shared" si="11"/>
        <v>0</v>
      </c>
      <c r="K97" s="73">
        <f t="shared" si="11"/>
        <v>0</v>
      </c>
      <c r="M97" s="74"/>
      <c r="N97" s="72"/>
      <c r="O97" s="72"/>
      <c r="P97" s="72"/>
      <c r="Q97" s="72"/>
      <c r="R97" s="72"/>
      <c r="S97" s="72"/>
      <c r="T97" s="72"/>
    </row>
    <row r="100">
      <c r="D100" s="66"/>
      <c r="E100" s="66"/>
      <c r="F100" s="66"/>
      <c r="G100" s="66"/>
      <c r="H100" s="66"/>
      <c r="I100" s="66"/>
      <c r="J100" s="66"/>
      <c r="K100" s="6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46.75"/>
  </cols>
  <sheetData>
    <row r="1">
      <c r="C1" s="62" t="s">
        <v>1403</v>
      </c>
      <c r="D1" s="62" t="s">
        <v>1366</v>
      </c>
      <c r="E1" s="62" t="s">
        <v>1367</v>
      </c>
      <c r="F1" s="62" t="s">
        <v>1368</v>
      </c>
      <c r="G1" s="62" t="s">
        <v>1369</v>
      </c>
      <c r="H1" s="62" t="s">
        <v>1370</v>
      </c>
      <c r="I1" s="62" t="s">
        <v>1371</v>
      </c>
      <c r="J1" s="62" t="s">
        <v>1372</v>
      </c>
      <c r="K1" s="62" t="s">
        <v>1373</v>
      </c>
    </row>
    <row r="2">
      <c r="A2" s="32"/>
      <c r="B2" s="32">
        <v>1.0</v>
      </c>
      <c r="C2" s="32">
        <v>13221.0</v>
      </c>
      <c r="D2" s="32">
        <v>16.25</v>
      </c>
      <c r="E2" s="32">
        <v>66.57</v>
      </c>
      <c r="F2" s="32">
        <v>0.0</v>
      </c>
      <c r="G2" s="32">
        <v>0.0</v>
      </c>
      <c r="H2" s="32">
        <v>3.52</v>
      </c>
      <c r="I2" s="32">
        <v>1.22</v>
      </c>
      <c r="J2" s="32">
        <v>0.0</v>
      </c>
      <c r="K2" s="32">
        <v>0.0</v>
      </c>
    </row>
    <row r="3">
      <c r="A3" s="63"/>
      <c r="B3" s="32">
        <v>2.0</v>
      </c>
      <c r="C3" s="32">
        <v>9904.0</v>
      </c>
      <c r="D3" s="32">
        <v>0.02</v>
      </c>
      <c r="E3" s="32">
        <v>97.01</v>
      </c>
      <c r="F3" s="32">
        <v>0.0</v>
      </c>
      <c r="G3" s="32">
        <v>0.0</v>
      </c>
      <c r="H3" s="32">
        <v>0.0</v>
      </c>
      <c r="I3" s="32">
        <v>0.01</v>
      </c>
      <c r="J3" s="32">
        <v>0.0</v>
      </c>
      <c r="K3" s="32">
        <v>0.0</v>
      </c>
    </row>
    <row r="4">
      <c r="A4" s="63"/>
      <c r="B4" s="32">
        <v>3.0</v>
      </c>
      <c r="C4" s="32">
        <v>12162.0</v>
      </c>
      <c r="D4" s="32">
        <v>0.05</v>
      </c>
      <c r="E4" s="32">
        <v>98.86</v>
      </c>
      <c r="F4" s="32">
        <v>0.0</v>
      </c>
      <c r="G4" s="32">
        <v>0.01</v>
      </c>
      <c r="H4" s="32">
        <v>0.0</v>
      </c>
      <c r="I4" s="32">
        <v>0.01</v>
      </c>
      <c r="J4" s="32">
        <v>0.0</v>
      </c>
      <c r="K4" s="32">
        <v>0.0</v>
      </c>
    </row>
    <row r="5">
      <c r="A5" s="63"/>
      <c r="B5" s="32">
        <v>4.0</v>
      </c>
      <c r="C5" s="32"/>
      <c r="D5" s="32"/>
      <c r="E5" s="32"/>
      <c r="F5" s="32"/>
      <c r="G5" s="32"/>
      <c r="H5" s="32"/>
      <c r="I5" s="32"/>
      <c r="J5" s="32"/>
      <c r="K5" s="32"/>
    </row>
    <row r="6">
      <c r="A6" s="63"/>
      <c r="B6" s="32">
        <v>5.0</v>
      </c>
      <c r="C6" s="32"/>
      <c r="D6" s="32"/>
      <c r="E6" s="32"/>
      <c r="F6" s="32"/>
      <c r="G6" s="32"/>
      <c r="H6" s="32"/>
      <c r="I6" s="32"/>
      <c r="J6" s="32"/>
      <c r="K6" s="32"/>
    </row>
    <row r="7" hidden="1">
      <c r="A7" s="63"/>
      <c r="B7" s="32"/>
      <c r="C7" s="32"/>
      <c r="D7" s="32"/>
      <c r="E7" s="32"/>
      <c r="F7" s="32"/>
      <c r="G7" s="32"/>
      <c r="H7" s="32"/>
      <c r="I7" s="32"/>
      <c r="J7" s="32"/>
      <c r="K7" s="32"/>
    </row>
    <row r="8" hidden="1">
      <c r="A8" s="63"/>
      <c r="B8" s="32"/>
      <c r="C8" s="32"/>
      <c r="D8" s="32"/>
      <c r="E8" s="32"/>
      <c r="F8" s="32"/>
      <c r="G8" s="32"/>
      <c r="H8" s="32"/>
      <c r="I8" s="32"/>
      <c r="J8" s="32"/>
      <c r="K8" s="32"/>
    </row>
    <row r="9" hidden="1">
      <c r="A9" s="63"/>
      <c r="B9" s="32"/>
      <c r="C9" s="32"/>
      <c r="D9" s="32"/>
      <c r="E9" s="32"/>
      <c r="F9" s="32"/>
      <c r="G9" s="32"/>
      <c r="H9" s="32"/>
      <c r="I9" s="32"/>
      <c r="J9" s="32"/>
      <c r="K9" s="32"/>
    </row>
    <row r="10" hidden="1">
      <c r="A10" s="63"/>
      <c r="B10" s="32"/>
      <c r="C10" s="32"/>
      <c r="D10" s="32"/>
      <c r="E10" s="32"/>
      <c r="F10" s="32"/>
      <c r="G10" s="32"/>
      <c r="H10" s="32"/>
      <c r="I10" s="32"/>
      <c r="J10" s="32"/>
      <c r="K10" s="32"/>
    </row>
    <row r="11" hidden="1">
      <c r="A11" s="63"/>
      <c r="B11" s="32"/>
      <c r="C11" s="32"/>
      <c r="D11" s="32"/>
      <c r="E11" s="32"/>
      <c r="F11" s="32"/>
      <c r="G11" s="32"/>
      <c r="H11" s="32"/>
      <c r="I11" s="32"/>
      <c r="J11" s="32"/>
      <c r="K11" s="32"/>
    </row>
    <row r="12" hidden="1">
      <c r="A12" s="63"/>
      <c r="B12" s="32"/>
      <c r="C12" s="32"/>
      <c r="D12" s="32"/>
      <c r="E12" s="32"/>
      <c r="F12" s="32"/>
      <c r="G12" s="32"/>
      <c r="H12" s="32"/>
      <c r="I12" s="32"/>
      <c r="J12" s="32"/>
      <c r="K12" s="32"/>
    </row>
    <row r="13" hidden="1">
      <c r="A13" s="63"/>
      <c r="B13" s="32"/>
      <c r="C13" s="32"/>
      <c r="D13" s="32"/>
      <c r="E13" s="32"/>
      <c r="F13" s="32"/>
      <c r="G13" s="32"/>
      <c r="H13" s="32"/>
      <c r="I13" s="32"/>
      <c r="J13" s="32"/>
      <c r="K13" s="32"/>
    </row>
    <row r="14" hidden="1">
      <c r="A14" s="63"/>
      <c r="B14" s="32"/>
      <c r="C14" s="32"/>
      <c r="D14" s="32"/>
      <c r="E14" s="32"/>
      <c r="F14" s="32"/>
      <c r="G14" s="32"/>
      <c r="H14" s="32"/>
      <c r="I14" s="32"/>
      <c r="J14" s="32"/>
      <c r="K14" s="32"/>
    </row>
    <row r="15" hidden="1">
      <c r="A15" s="63"/>
      <c r="B15" s="32"/>
      <c r="C15" s="32"/>
      <c r="D15" s="32"/>
      <c r="E15" s="32"/>
      <c r="F15" s="32"/>
      <c r="G15" s="32"/>
      <c r="H15" s="32"/>
      <c r="I15" s="32"/>
      <c r="J15" s="32"/>
      <c r="K15" s="32"/>
    </row>
    <row r="16" hidden="1">
      <c r="A16" s="63"/>
      <c r="B16" s="32"/>
      <c r="C16" s="32"/>
      <c r="D16" s="32"/>
      <c r="E16" s="32"/>
      <c r="F16" s="32"/>
      <c r="G16" s="32"/>
      <c r="H16" s="32"/>
      <c r="I16" s="32"/>
      <c r="J16" s="32"/>
      <c r="K16" s="32"/>
    </row>
    <row r="17" hidden="1">
      <c r="A17" s="63"/>
      <c r="B17" s="32"/>
      <c r="C17" s="32"/>
      <c r="D17" s="32"/>
      <c r="E17" s="32"/>
      <c r="F17" s="32"/>
      <c r="G17" s="32"/>
      <c r="H17" s="32"/>
      <c r="I17" s="32"/>
      <c r="J17" s="32"/>
      <c r="K17" s="32"/>
    </row>
    <row r="18" hidden="1">
      <c r="A18" s="63"/>
      <c r="B18" s="32"/>
      <c r="C18" s="32"/>
      <c r="D18" s="32"/>
      <c r="E18" s="32"/>
      <c r="F18" s="32"/>
      <c r="G18" s="32"/>
      <c r="H18" s="32"/>
      <c r="I18" s="32"/>
      <c r="J18" s="32"/>
      <c r="K18" s="32"/>
    </row>
    <row r="19" hidden="1">
      <c r="A19" s="63"/>
      <c r="B19" s="32"/>
      <c r="C19" s="32"/>
      <c r="D19" s="32"/>
      <c r="E19" s="32"/>
      <c r="F19" s="32"/>
      <c r="G19" s="32"/>
      <c r="H19" s="32"/>
      <c r="I19" s="32"/>
      <c r="J19" s="32"/>
      <c r="K19" s="32"/>
    </row>
    <row r="20" hidden="1">
      <c r="A20" s="63"/>
      <c r="B20" s="32"/>
      <c r="C20" s="32"/>
      <c r="D20" s="32"/>
      <c r="E20" s="32"/>
      <c r="F20" s="32"/>
      <c r="G20" s="32"/>
      <c r="H20" s="32"/>
      <c r="I20" s="32"/>
      <c r="J20" s="32"/>
      <c r="K20" s="32"/>
    </row>
    <row r="21" hidden="1">
      <c r="A21" s="63"/>
      <c r="B21" s="32"/>
      <c r="C21" s="32"/>
      <c r="D21" s="32"/>
      <c r="E21" s="32"/>
      <c r="F21" s="32"/>
      <c r="G21" s="32"/>
      <c r="H21" s="32"/>
      <c r="I21" s="32"/>
      <c r="J21" s="32"/>
      <c r="K21" s="32"/>
    </row>
    <row r="23">
      <c r="B23" s="8" t="s">
        <v>1404</v>
      </c>
      <c r="C23" s="64">
        <f t="shared" ref="C23:C24" si="2">sum(D23:K23)</f>
        <v>33219.0158</v>
      </c>
      <c r="D23" s="14">
        <f t="shared" ref="D23:K23" si="1">SUMPRODUCT((D2:D21/100)*$C2:$C21)</f>
        <v>2156.4743</v>
      </c>
      <c r="E23" s="14">
        <f t="shared" si="1"/>
        <v>30432.4433</v>
      </c>
      <c r="F23" s="14">
        <f t="shared" si="1"/>
        <v>0</v>
      </c>
      <c r="G23" s="14">
        <f t="shared" si="1"/>
        <v>1.2162</v>
      </c>
      <c r="H23" s="14">
        <f t="shared" si="1"/>
        <v>465.3792</v>
      </c>
      <c r="I23" s="14">
        <f t="shared" si="1"/>
        <v>163.5028</v>
      </c>
      <c r="J23" s="14">
        <f t="shared" si="1"/>
        <v>0</v>
      </c>
      <c r="K23" s="14">
        <f t="shared" si="1"/>
        <v>0</v>
      </c>
      <c r="M23" s="64"/>
    </row>
    <row r="24">
      <c r="A24" s="65" t="s">
        <v>1374</v>
      </c>
      <c r="B24" s="8" t="s">
        <v>1375</v>
      </c>
      <c r="C24" s="64">
        <f t="shared" si="2"/>
        <v>33.2190158</v>
      </c>
      <c r="D24" s="66">
        <f t="shared" ref="D24:K24" si="3">D23*0.001</f>
        <v>2.1564743</v>
      </c>
      <c r="E24" s="66">
        <f t="shared" si="3"/>
        <v>30.4324433</v>
      </c>
      <c r="F24" s="66">
        <f t="shared" si="3"/>
        <v>0</v>
      </c>
      <c r="G24" s="66">
        <f t="shared" si="3"/>
        <v>0.0012162</v>
      </c>
      <c r="H24" s="66">
        <f t="shared" si="3"/>
        <v>0.4653792</v>
      </c>
      <c r="I24" s="66">
        <f t="shared" si="3"/>
        <v>0.1635028</v>
      </c>
      <c r="J24" s="66">
        <f t="shared" si="3"/>
        <v>0</v>
      </c>
      <c r="K24" s="66">
        <f t="shared" si="3"/>
        <v>0</v>
      </c>
      <c r="M24" s="64"/>
    </row>
    <row r="25">
      <c r="A25" s="8"/>
      <c r="B25" s="8"/>
      <c r="C25" s="64"/>
      <c r="D25" s="14"/>
      <c r="E25" s="14"/>
      <c r="F25" s="14"/>
      <c r="G25" s="14"/>
      <c r="H25" s="14"/>
      <c r="I25" s="14"/>
      <c r="M25" s="64"/>
    </row>
    <row r="26">
      <c r="A26" s="63"/>
      <c r="B26" s="32" t="s">
        <v>1376</v>
      </c>
      <c r="C26" s="35">
        <v>306517.0</v>
      </c>
      <c r="D26" s="63"/>
      <c r="E26" s="63"/>
      <c r="F26" s="63"/>
      <c r="G26" s="63"/>
      <c r="H26" s="63"/>
      <c r="I26" s="63"/>
      <c r="J26" s="63"/>
      <c r="K26" s="63"/>
    </row>
    <row r="27">
      <c r="A27" s="8" t="s">
        <v>1377</v>
      </c>
      <c r="B27" s="8" t="s">
        <v>1378</v>
      </c>
      <c r="C27" s="64">
        <f>sum(C29)</f>
        <v>328616.098</v>
      </c>
      <c r="D27" s="14"/>
      <c r="E27" s="14"/>
      <c r="F27" s="14"/>
      <c r="G27" s="14"/>
      <c r="H27" s="14"/>
      <c r="I27" s="14"/>
      <c r="J27" s="14"/>
      <c r="K27" s="14"/>
      <c r="M27" s="64"/>
    </row>
    <row r="28">
      <c r="A28" s="8"/>
      <c r="B28" s="8"/>
      <c r="C28" s="64"/>
      <c r="D28" s="14"/>
      <c r="E28" s="14"/>
      <c r="F28" s="14"/>
      <c r="G28" s="14"/>
      <c r="H28" s="14"/>
      <c r="I28" s="14"/>
      <c r="J28" s="14"/>
      <c r="K28" s="14"/>
      <c r="M28" s="64"/>
    </row>
    <row r="29">
      <c r="A29" s="8" t="s">
        <v>1379</v>
      </c>
      <c r="B29" s="8" t="s">
        <v>1380</v>
      </c>
      <c r="C29" s="64">
        <f>sum(D29:K29)</f>
        <v>328616.098</v>
      </c>
      <c r="D29" s="14">
        <f t="shared" ref="D29:K29" si="4">D24*D31*D30</f>
        <v>9116.495103</v>
      </c>
      <c r="E29" s="14">
        <f t="shared" si="4"/>
        <v>315127.9504</v>
      </c>
      <c r="F29" s="14">
        <f t="shared" si="4"/>
        <v>0</v>
      </c>
      <c r="G29" s="14">
        <f t="shared" si="4"/>
        <v>6.63522234</v>
      </c>
      <c r="H29" s="14">
        <f t="shared" si="4"/>
        <v>3629.95776</v>
      </c>
      <c r="I29" s="14">
        <f t="shared" si="4"/>
        <v>735.059538</v>
      </c>
      <c r="J29" s="14">
        <f t="shared" si="4"/>
        <v>0</v>
      </c>
      <c r="K29" s="14">
        <f t="shared" si="4"/>
        <v>0</v>
      </c>
      <c r="M29" s="64"/>
    </row>
    <row r="30">
      <c r="A30" s="67" t="s">
        <v>1405</v>
      </c>
      <c r="B30" s="67" t="s">
        <v>1384</v>
      </c>
      <c r="C30" s="68"/>
      <c r="D30" s="67">
        <v>4750.0</v>
      </c>
      <c r="E30" s="67">
        <v>10900.0</v>
      </c>
      <c r="F30" s="67">
        <v>14400.0</v>
      </c>
      <c r="G30" s="67">
        <v>6130.0</v>
      </c>
      <c r="H30" s="67">
        <v>10000.0</v>
      </c>
      <c r="I30" s="67">
        <v>7370.0</v>
      </c>
      <c r="J30" s="67">
        <v>1810.0</v>
      </c>
      <c r="K30" s="67">
        <v>725.0</v>
      </c>
      <c r="M30" s="64"/>
    </row>
    <row r="31">
      <c r="A31" s="67" t="s">
        <v>1406</v>
      </c>
      <c r="B31" s="67" t="s">
        <v>1382</v>
      </c>
      <c r="C31" s="68"/>
      <c r="D31" s="67">
        <v>0.89</v>
      </c>
      <c r="E31" s="67">
        <v>0.95</v>
      </c>
      <c r="F31" s="67">
        <v>0.61</v>
      </c>
      <c r="G31" s="67">
        <v>0.89</v>
      </c>
      <c r="H31" s="67">
        <v>0.78</v>
      </c>
      <c r="I31" s="67">
        <v>0.61</v>
      </c>
      <c r="J31" s="68"/>
      <c r="K31" s="68"/>
    </row>
    <row r="33">
      <c r="A33" s="63"/>
      <c r="B33" s="32" t="s">
        <v>1385</v>
      </c>
      <c r="C33" s="35">
        <v>22100.0</v>
      </c>
      <c r="D33" s="63"/>
      <c r="E33" s="63"/>
      <c r="F33" s="63"/>
      <c r="G33" s="63"/>
      <c r="H33" s="63"/>
      <c r="I33" s="63"/>
      <c r="J33" s="63"/>
      <c r="K33" s="63"/>
    </row>
    <row r="34">
      <c r="A34" s="8" t="s">
        <v>1386</v>
      </c>
      <c r="B34" s="8" t="s">
        <v>1385</v>
      </c>
      <c r="C34" s="69">
        <f>sum(C36,C39)</f>
        <v>22099.87464</v>
      </c>
    </row>
    <row r="35">
      <c r="A35" s="8"/>
      <c r="B35" s="8"/>
      <c r="C35" s="51"/>
      <c r="D35" s="51"/>
      <c r="E35" s="51"/>
      <c r="F35" s="51"/>
      <c r="G35" s="51"/>
      <c r="H35" s="51"/>
      <c r="I35" s="51"/>
      <c r="J35" s="51"/>
      <c r="K35" s="51"/>
    </row>
    <row r="36">
      <c r="A36" s="8" t="s">
        <v>1387</v>
      </c>
      <c r="B36" s="8" t="s">
        <v>1388</v>
      </c>
      <c r="C36" s="51">
        <f>sum(D36:K36)</f>
        <v>21850.73202</v>
      </c>
      <c r="D36" s="51">
        <f t="shared" ref="D36:K36" si="5">D24*D37</f>
        <v>480.8937689</v>
      </c>
      <c r="E36" s="51">
        <f t="shared" si="5"/>
        <v>20876.6561</v>
      </c>
      <c r="F36" s="51">
        <f t="shared" si="5"/>
        <v>0</v>
      </c>
      <c r="G36" s="51">
        <f t="shared" si="5"/>
        <v>0.267564</v>
      </c>
      <c r="H36" s="51">
        <f t="shared" si="5"/>
        <v>306.6848928</v>
      </c>
      <c r="I36" s="51">
        <f t="shared" si="5"/>
        <v>186.2296892</v>
      </c>
      <c r="J36" s="51">
        <f t="shared" si="5"/>
        <v>0</v>
      </c>
      <c r="K36" s="51">
        <f t="shared" si="5"/>
        <v>0</v>
      </c>
    </row>
    <row r="37">
      <c r="A37" s="67" t="s">
        <v>1407</v>
      </c>
      <c r="B37" s="67" t="s">
        <v>1390</v>
      </c>
      <c r="C37" s="68"/>
      <c r="D37" s="67">
        <v>223.0</v>
      </c>
      <c r="E37" s="67">
        <v>686.0</v>
      </c>
      <c r="F37" s="67">
        <v>7144.0</v>
      </c>
      <c r="G37" s="67">
        <v>220.0</v>
      </c>
      <c r="H37" s="67">
        <v>659.0</v>
      </c>
      <c r="I37" s="67">
        <v>1139.0</v>
      </c>
      <c r="J37" s="68"/>
      <c r="K37" s="68"/>
    </row>
    <row r="38">
      <c r="A38" s="8"/>
      <c r="B38" s="8"/>
      <c r="C38" s="51"/>
    </row>
    <row r="39">
      <c r="A39" s="8" t="s">
        <v>1391</v>
      </c>
      <c r="B39" s="8" t="s">
        <v>1392</v>
      </c>
      <c r="C39" s="51">
        <f>C40*C41</f>
        <v>249.1426185</v>
      </c>
      <c r="D39" s="70">
        <f t="shared" ref="D39:K39" si="6">D40*$C41</f>
        <v>16.17355725</v>
      </c>
      <c r="E39" s="70">
        <f t="shared" si="6"/>
        <v>228.2433248</v>
      </c>
      <c r="F39" s="70">
        <f t="shared" si="6"/>
        <v>0</v>
      </c>
      <c r="G39" s="70">
        <f t="shared" si="6"/>
        <v>0.0091215</v>
      </c>
      <c r="H39" s="70">
        <f t="shared" si="6"/>
        <v>3.490344</v>
      </c>
      <c r="I39" s="70">
        <f t="shared" si="6"/>
        <v>1.226271</v>
      </c>
      <c r="J39" s="70">
        <f t="shared" si="6"/>
        <v>0</v>
      </c>
      <c r="K39" s="70">
        <f t="shared" si="6"/>
        <v>0</v>
      </c>
    </row>
    <row r="40">
      <c r="A40" s="8" t="s">
        <v>1393</v>
      </c>
      <c r="B40" s="8" t="s">
        <v>1394</v>
      </c>
      <c r="C40" s="64">
        <f t="shared" ref="C40:K40" si="7">C24</f>
        <v>33.2190158</v>
      </c>
      <c r="D40" s="66">
        <f t="shared" si="7"/>
        <v>2.1564743</v>
      </c>
      <c r="E40" s="66">
        <f t="shared" si="7"/>
        <v>30.4324433</v>
      </c>
      <c r="F40" s="66">
        <f t="shared" si="7"/>
        <v>0</v>
      </c>
      <c r="G40" s="66">
        <f t="shared" si="7"/>
        <v>0.0012162</v>
      </c>
      <c r="H40" s="66">
        <f t="shared" si="7"/>
        <v>0.4653792</v>
      </c>
      <c r="I40" s="66">
        <f t="shared" si="7"/>
        <v>0.1635028</v>
      </c>
      <c r="J40" s="66">
        <f t="shared" si="7"/>
        <v>0</v>
      </c>
      <c r="K40" s="66">
        <f t="shared" si="7"/>
        <v>0</v>
      </c>
    </row>
    <row r="41">
      <c r="A41" s="67" t="s">
        <v>1395</v>
      </c>
      <c r="B41" s="67" t="s">
        <v>1396</v>
      </c>
      <c r="C41" s="67">
        <v>7.5</v>
      </c>
      <c r="D41" s="68"/>
      <c r="E41" s="68"/>
      <c r="F41" s="68"/>
      <c r="G41" s="68"/>
      <c r="H41" s="68"/>
      <c r="I41" s="68"/>
      <c r="J41" s="68"/>
      <c r="K41" s="68"/>
    </row>
    <row r="42">
      <c r="A42" s="8"/>
      <c r="B42" s="8"/>
      <c r="C42" s="8"/>
    </row>
    <row r="43">
      <c r="B43" s="8"/>
    </row>
    <row r="44">
      <c r="A44" s="63"/>
      <c r="B44" s="32" t="s">
        <v>1398</v>
      </c>
      <c r="C44" s="35">
        <v>328617.0</v>
      </c>
      <c r="D44" s="63"/>
      <c r="E44" s="63"/>
      <c r="F44" s="63"/>
      <c r="G44" s="63"/>
      <c r="H44" s="63"/>
      <c r="I44" s="63"/>
      <c r="J44" s="63"/>
      <c r="K44" s="63"/>
    </row>
    <row r="45">
      <c r="B45" s="8" t="s">
        <v>1399</v>
      </c>
      <c r="C45" s="64">
        <f t="shared" ref="C45:K45" si="8">C29-C36-C39</f>
        <v>306516.2234</v>
      </c>
      <c r="D45" s="14">
        <f t="shared" si="8"/>
        <v>8619.427777</v>
      </c>
      <c r="E45" s="14">
        <f t="shared" si="8"/>
        <v>294023.0509</v>
      </c>
      <c r="F45" s="14">
        <f t="shared" si="8"/>
        <v>0</v>
      </c>
      <c r="G45" s="14">
        <f t="shared" si="8"/>
        <v>6.35853684</v>
      </c>
      <c r="H45" s="14">
        <f t="shared" si="8"/>
        <v>3319.782523</v>
      </c>
      <c r="I45" s="14">
        <f t="shared" si="8"/>
        <v>547.6035778</v>
      </c>
      <c r="J45" s="14">
        <f t="shared" si="8"/>
        <v>0</v>
      </c>
      <c r="K45" s="14">
        <f t="shared" si="8"/>
        <v>0</v>
      </c>
    </row>
    <row r="46">
      <c r="B46" s="8" t="s">
        <v>1400</v>
      </c>
      <c r="C46" s="71">
        <f>abs(C45-C44)/C44</f>
        <v>0.06725390543</v>
      </c>
    </row>
    <row r="47">
      <c r="B47" s="1" t="s">
        <v>1408</v>
      </c>
      <c r="C47" s="72">
        <f t="shared" ref="C47:C48" si="10">sum(D47:K47)</f>
        <v>1</v>
      </c>
      <c r="D47" s="73">
        <f t="shared" ref="D47:K47" si="9">D45/$C45</f>
        <v>0.02812062501</v>
      </c>
      <c r="E47" s="73">
        <f t="shared" si="9"/>
        <v>0.9592413991</v>
      </c>
      <c r="F47" s="73">
        <f t="shared" si="9"/>
        <v>0</v>
      </c>
      <c r="G47" s="73">
        <f t="shared" si="9"/>
        <v>0.00002074453603</v>
      </c>
      <c r="H47" s="73">
        <f t="shared" si="9"/>
        <v>0.01083069107</v>
      </c>
      <c r="I47" s="73">
        <f t="shared" si="9"/>
        <v>0.001786540274</v>
      </c>
      <c r="J47" s="73">
        <f t="shared" si="9"/>
        <v>0</v>
      </c>
      <c r="K47" s="73">
        <f t="shared" si="9"/>
        <v>0</v>
      </c>
    </row>
    <row r="48">
      <c r="B48" s="1" t="s">
        <v>1402</v>
      </c>
      <c r="C48" s="72">
        <f t="shared" si="10"/>
        <v>1</v>
      </c>
      <c r="D48" s="73">
        <f t="shared" ref="D48:K48" si="11">(D29*($C44/$C29))/$C44</f>
        <v>0.02774208311</v>
      </c>
      <c r="E48" s="73">
        <f t="shared" si="11"/>
        <v>0.9589546961</v>
      </c>
      <c r="F48" s="73">
        <f t="shared" si="11"/>
        <v>0</v>
      </c>
      <c r="G48" s="73">
        <f t="shared" si="11"/>
        <v>0.00002019140992</v>
      </c>
      <c r="H48" s="73">
        <f t="shared" si="11"/>
        <v>0.0110461958</v>
      </c>
      <c r="I48" s="73">
        <f t="shared" si="11"/>
        <v>0.002236833626</v>
      </c>
      <c r="J48" s="73">
        <f t="shared" si="11"/>
        <v>0</v>
      </c>
      <c r="K48" s="73">
        <f t="shared" si="11"/>
        <v>0</v>
      </c>
    </row>
    <row r="51">
      <c r="D51" s="66"/>
      <c r="E51" s="66"/>
      <c r="F51" s="66"/>
      <c r="G51" s="66"/>
      <c r="H51" s="66"/>
      <c r="I51" s="66"/>
      <c r="J51" s="66"/>
      <c r="K51" s="66"/>
    </row>
    <row r="52">
      <c r="D52" s="75"/>
      <c r="E52" s="75"/>
      <c r="F52" s="75"/>
      <c r="G52" s="75"/>
      <c r="H52" s="75"/>
      <c r="I52" s="75"/>
      <c r="J52" s="75"/>
      <c r="K52" s="75"/>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88"/>
  </cols>
  <sheetData>
    <row r="1">
      <c r="B1" s="76" t="s">
        <v>1409</v>
      </c>
      <c r="C1" s="76" t="s">
        <v>1410</v>
      </c>
      <c r="D1" s="76" t="s">
        <v>1411</v>
      </c>
      <c r="E1" s="76" t="s">
        <v>1412</v>
      </c>
      <c r="F1" s="76" t="s">
        <v>1413</v>
      </c>
      <c r="G1" s="76" t="s">
        <v>1414</v>
      </c>
      <c r="H1" s="76" t="s">
        <v>1415</v>
      </c>
      <c r="I1" s="76" t="s">
        <v>1416</v>
      </c>
    </row>
    <row r="3">
      <c r="A3" s="8" t="s">
        <v>1417</v>
      </c>
      <c r="B3" s="14">
        <f>SUMPRODUCT(ods_project_ids!$N2:$N216,ods_project_ids!Q2:Q216)/SUM(ods_project_ids!$N2:$N216)</f>
        <v>0.1684177921</v>
      </c>
      <c r="C3" s="14">
        <f>SUMPRODUCT(ods_project_ids!$N2:$N216,ods_project_ids!R2:R216)/SUM(ods_project_ids!$N2:$N216)</f>
        <v>0.7258349037</v>
      </c>
      <c r="D3" s="14">
        <f>SUMPRODUCT(ods_project_ids!$N2:$N216,ods_project_ids!S2:S216)/SUM(ods_project_ids!$N2:$N216)</f>
        <v>0.0005378555813</v>
      </c>
      <c r="E3" s="14">
        <f>SUMPRODUCT(ods_project_ids!$N2:$N216,ods_project_ids!T2:T216)/SUM(ods_project_ids!$N2:$N216)</f>
        <v>0.06129734268</v>
      </c>
      <c r="F3" s="14">
        <f>SUMPRODUCT(ods_project_ids!$N2:$N216,ods_project_ids!U2:U216)/SUM(ods_project_ids!$N2:$N216)</f>
        <v>0.03763790369</v>
      </c>
      <c r="G3" s="14">
        <f>SUMPRODUCT(ods_project_ids!$N2:$N216,ods_project_ids!V2:V216)/SUM(ods_project_ids!$N2:$N216)</f>
        <v>0.004198031881</v>
      </c>
      <c r="H3" s="14">
        <f>SUMPRODUCT(ods_project_ids!$N2:$N216,ods_project_ids!W2:W216)/SUM(ods_project_ids!$N2:$N216)</f>
        <v>-0.0000000003132051372</v>
      </c>
      <c r="I3" s="14">
        <f>SUMPRODUCT(ods_project_ids!$N2:$N216,ods_project_ids!X2:X216)/SUM(ods_project_ids!$N2:$N216)</f>
        <v>0</v>
      </c>
    </row>
    <row r="4">
      <c r="A4" s="8" t="s">
        <v>1418</v>
      </c>
      <c r="B4" s="14">
        <f>SUMPRODUCT(ods_project_ids!$N2:$N216,ods_project_ids!AA2:AA216)/SUM(ods_project_ids!$N2:$N216)</f>
        <v>0.1686373337</v>
      </c>
      <c r="C4" s="14">
        <f>SUMPRODUCT(ods_project_ids!$N2:$N216,ods_project_ids!AB2:AB216)/SUM(ods_project_ids!$N2:$N216)</f>
        <v>0.7208608473</v>
      </c>
      <c r="D4" s="14">
        <f>SUMPRODUCT(ods_project_ids!$N2:$N216,ods_project_ids!AC2:AC216)/SUM(ods_project_ids!$N2:$N216)</f>
        <v>0.00189466316</v>
      </c>
      <c r="E4" s="14">
        <f>SUMPRODUCT(ods_project_ids!$N2:$N216,ods_project_ids!AD2:AD216)/SUM(ods_project_ids!$N2:$N216)</f>
        <v>0.06033731384</v>
      </c>
      <c r="F4" s="14">
        <f>SUMPRODUCT(ods_project_ids!$N2:$N216,ods_project_ids!AE2:AE216)/SUM(ods_project_ids!$N2:$N216)</f>
        <v>0.03830437717</v>
      </c>
      <c r="G4" s="14">
        <f>SUMPRODUCT(ods_project_ids!$N2:$N216,ods_project_ids!AF2:AF216)/SUM(ods_project_ids!$N2:$N216)</f>
        <v>0.00510846282</v>
      </c>
      <c r="H4" s="14">
        <f>SUMPRODUCT(ods_project_ids!$N2:$N216,ods_project_ids!AG2:AG216)/SUM(ods_project_ids!$N2:$N216)</f>
        <v>0</v>
      </c>
      <c r="I4" s="14">
        <f>SUMPRODUCT(ods_project_ids!$N2:$N216,ods_project_ids!AH2:AH216)/SUM(ods_project_ids!$N2:$N216)</f>
        <v>0</v>
      </c>
    </row>
    <row r="6">
      <c r="A6" s="8" t="s">
        <v>1419</v>
      </c>
      <c r="B6" s="14">
        <f>SUMPRODUCT(ods_project_ids!$N2:$N303, ods_project_ids!Q2:Q303, --(ods_project_ids!$Y2:$Y303&lt;&gt;"yes"))
/SUMPRODUCT(ods_project_ids!$N2:$N303, --(ods_project_ids!$Y2:$Y303&lt;&gt;"yes"))</f>
        <v>0.1657648478</v>
      </c>
      <c r="C6" s="14">
        <f>SUMPRODUCT(ods_project_ids!$N2:$N303, ods_project_ids!R2:R303, --(ods_project_ids!$Y2:$Y303&lt;&gt;"yes"))
/SUMPRODUCT(ods_project_ids!$N2:$N303, --(ods_project_ids!$Y2:$Y303&lt;&gt;"yes"))</f>
        <v>0.7466317858</v>
      </c>
      <c r="D6" s="14">
        <f>SUMPRODUCT(ods_project_ids!$N2:$N303, ods_project_ids!S2:S303, --(ods_project_ids!$Y2:$Y303&lt;&gt;"yes"))
/SUMPRODUCT(ods_project_ids!$N2:$N303, --(ods_project_ids!$Y2:$Y303&lt;&gt;"yes"))</f>
        <v>0.0004411404376</v>
      </c>
      <c r="E6" s="14">
        <f>SUMPRODUCT(ods_project_ids!$N2:$N303, ods_project_ids!T2:T303, --(ods_project_ids!$Y2:$Y303&lt;&gt;"yes"))
/SUMPRODUCT(ods_project_ids!$N2:$N303, --(ods_project_ids!$Y2:$Y303&lt;&gt;"yes"))</f>
        <v>0.05027508779</v>
      </c>
      <c r="F6" s="14">
        <f>SUMPRODUCT(ods_project_ids!$N2:$N303, ods_project_ids!U2:U303, --(ods_project_ids!$Y2:$Y303&lt;&gt;"yes"))
/SUMPRODUCT(ods_project_ids!$N2:$N303, --(ods_project_ids!$Y2:$Y303&lt;&gt;"yes"))</f>
        <v>0.03325396125</v>
      </c>
      <c r="G6" s="14">
        <f>SUMPRODUCT(ods_project_ids!$N2:$N303, ods_project_ids!V2:V303, --(ods_project_ids!$Y2:$Y303&lt;&gt;"yes"))
/SUMPRODUCT(ods_project_ids!$N2:$N303, --(ods_project_ids!$Y2:$Y303&lt;&gt;"yes"))</f>
        <v>0.003621325318</v>
      </c>
      <c r="H6" s="14">
        <f>SUMPRODUCT(ods_project_ids!$N2:$N303, ods_project_ids!W2:W303, --(ods_project_ids!$Y2:$Y303&lt;&gt;"yes"))
/SUMPRODUCT(ods_project_ids!$N2:$N303, --(ods_project_ids!$Y2:$Y303&lt;&gt;"yes"))</f>
        <v>-0.0000000002568857814</v>
      </c>
      <c r="I6" s="14">
        <f>SUMPRODUCT(ods_project_ids!$N2:$N303, ods_project_ids!X2:X303, --(ods_project_ids!$Y2:$Y303&lt;&gt;"yes"))
/SUMPRODUCT(ods_project_ids!$N2:$N303, --(ods_project_ids!$Y2:$Y303&lt;&gt;"yes"))</f>
        <v>0</v>
      </c>
    </row>
    <row r="7">
      <c r="A7" s="8" t="s">
        <v>1420</v>
      </c>
      <c r="B7" s="14">
        <f>SUMPRODUCT(ods_project_ids!$N217:$N303, ods_project_ids!Q217:Q303, --(ods_project_ids!$Y217:$Y303&lt;&gt;"yes"))
/SUMPRODUCT(ods_project_ids!$N217:$N303, --(ods_project_ids!$Y217:$Y303&lt;&gt;"yes"))</f>
        <v>0.152232091</v>
      </c>
      <c r="C7" s="14">
        <f>SUMPRODUCT(ods_project_ids!$N217:$N303, ods_project_ids!R217:R303, --(ods_project_ids!$Y217:$Y303&lt;&gt;"yes"))
/SUMPRODUCT(ods_project_ids!$N217:$N303, --(ods_project_ids!$Y217:$Y303&lt;&gt;"yes"))</f>
        <v>0.8336490541</v>
      </c>
      <c r="D7" s="14">
        <f>SUMPRODUCT(ods_project_ids!$N217:$N303, ods_project_ids!S217:S303, --(ods_project_ids!$Y217:$Y303&lt;&gt;"yes"))
/SUMPRODUCT(ods_project_ids!$N217:$N303, --(ods_project_ids!$Y217:$Y303&lt;&gt;"yes"))</f>
        <v>0</v>
      </c>
      <c r="E7" s="14">
        <f>SUMPRODUCT(ods_project_ids!$N217:$N303, ods_project_ids!T217:T303, --(ods_project_ids!$Y217:$Y303&lt;&gt;"yes"))
/SUMPRODUCT(ods_project_ids!$N217:$N303, --(ods_project_ids!$Y217:$Y303&lt;&gt;"yes"))</f>
        <v>0</v>
      </c>
      <c r="F7" s="14">
        <f>SUMPRODUCT(ods_project_ids!$N217:$N303, ods_project_ids!U217:U303, --(ods_project_ids!$Y217:$Y303&lt;&gt;"yes"))
/SUMPRODUCT(ods_project_ids!$N217:$N303, --(ods_project_ids!$Y217:$Y303&lt;&gt;"yes"))</f>
        <v>0.01313421801</v>
      </c>
      <c r="G7" s="14">
        <f>SUMPRODUCT(ods_project_ids!$N217:$N303, ods_project_ids!V217:V303, --(ods_project_ids!$Y217:$Y303&lt;&gt;"yes"))
/SUMPRODUCT(ods_project_ids!$N217:$N303, --(ods_project_ids!$Y217:$Y303&lt;&gt;"yes"))</f>
        <v>0.0009815975767</v>
      </c>
      <c r="H7" s="14">
        <f>SUMPRODUCT(ods_project_ids!$N217:$N303, ods_project_ids!W217:W303, --(ods_project_ids!$Y217:$Y303&lt;&gt;"yes"))
/SUMPRODUCT(ods_project_ids!$N217:$N303, --(ods_project_ids!$Y217:$Y303&lt;&gt;"yes"))</f>
        <v>0</v>
      </c>
      <c r="I7" s="14">
        <f>SUMPRODUCT(ods_project_ids!$N217:$N303, ods_project_ids!X217:X303, --(ods_project_ids!$Y217:$Y303&lt;&gt;"yes"))
/SUMPRODUCT(ods_project_ids!$N217:$N303, --(ods_project_ids!$Y217:$Y303&lt;&gt;"yes"))</f>
        <v>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hidden="1" min="14" max="14" width="16.5"/>
    <col customWidth="1" hidden="1" min="15" max="15" width="15.75"/>
    <col hidden="1" min="16" max="28" width="12.63"/>
  </cols>
  <sheetData>
    <row r="1">
      <c r="A1" s="8" t="s">
        <v>1421</v>
      </c>
      <c r="B1" s="8" t="s">
        <v>1422</v>
      </c>
      <c r="C1" s="8" t="s">
        <v>1423</v>
      </c>
      <c r="D1" s="8" t="s">
        <v>1424</v>
      </c>
      <c r="E1" s="8" t="s">
        <v>1425</v>
      </c>
      <c r="F1" s="8" t="s">
        <v>1426</v>
      </c>
      <c r="G1" s="8" t="s">
        <v>1427</v>
      </c>
      <c r="H1" s="8" t="s">
        <v>1428</v>
      </c>
      <c r="I1" s="8" t="s">
        <v>1429</v>
      </c>
      <c r="J1" s="8" t="s">
        <v>1430</v>
      </c>
      <c r="K1" s="8" t="s">
        <v>1431</v>
      </c>
      <c r="L1" s="8" t="s">
        <v>24</v>
      </c>
      <c r="M1" s="8" t="s">
        <v>1432</v>
      </c>
      <c r="N1" s="8" t="s">
        <v>1433</v>
      </c>
      <c r="O1" s="8" t="s">
        <v>1434</v>
      </c>
      <c r="P1" s="8" t="s">
        <v>1435</v>
      </c>
      <c r="Q1" s="8" t="s">
        <v>1436</v>
      </c>
      <c r="R1" s="8" t="s">
        <v>1437</v>
      </c>
      <c r="S1" s="8" t="s">
        <v>1438</v>
      </c>
      <c r="T1" s="8" t="s">
        <v>1439</v>
      </c>
      <c r="U1" s="8" t="s">
        <v>1440</v>
      </c>
      <c r="V1" s="8" t="s">
        <v>1441</v>
      </c>
      <c r="W1" s="8" t="s">
        <v>1442</v>
      </c>
      <c r="X1" s="8" t="s">
        <v>1443</v>
      </c>
      <c r="Y1" s="8" t="s">
        <v>1444</v>
      </c>
      <c r="Z1" s="8" t="s">
        <v>1445</v>
      </c>
      <c r="AA1" s="8" t="s">
        <v>1446</v>
      </c>
      <c r="AB1" s="8" t="s">
        <v>1447</v>
      </c>
      <c r="AC1" s="8" t="s">
        <v>25</v>
      </c>
    </row>
    <row r="2">
      <c r="A2" s="77" t="s">
        <v>1145</v>
      </c>
      <c r="B2" s="77" t="s">
        <v>1149</v>
      </c>
      <c r="C2" s="77">
        <v>1.0</v>
      </c>
      <c r="D2" s="78"/>
      <c r="E2" s="77">
        <v>0.9996</v>
      </c>
      <c r="F2" s="77"/>
      <c r="G2" s="77"/>
      <c r="H2" s="79">
        <v>8.0E-5</v>
      </c>
      <c r="I2" s="77">
        <v>3.2E-4</v>
      </c>
      <c r="J2" s="80"/>
      <c r="K2" s="80"/>
      <c r="L2" s="54" t="s">
        <v>1151</v>
      </c>
      <c r="M2" s="77" t="s">
        <v>1448</v>
      </c>
      <c r="N2" s="77" t="s">
        <v>1449</v>
      </c>
      <c r="O2" s="77" t="s">
        <v>1450</v>
      </c>
      <c r="P2" s="77">
        <v>9300.0</v>
      </c>
      <c r="Q2" s="77">
        <v>9093.0</v>
      </c>
      <c r="R2" s="80"/>
      <c r="S2" s="77">
        <v>97.47</v>
      </c>
      <c r="T2" s="80"/>
      <c r="U2" s="80"/>
      <c r="V2" s="77">
        <v>0.01</v>
      </c>
      <c r="W2" s="77">
        <v>0.09</v>
      </c>
      <c r="X2" s="80"/>
      <c r="Y2" s="80"/>
      <c r="Z2" s="77">
        <v>38517.0</v>
      </c>
      <c r="AA2" s="77">
        <v>38517.0</v>
      </c>
      <c r="AB2" s="77" t="s">
        <v>668</v>
      </c>
      <c r="AC2" s="77" t="s">
        <v>1451</v>
      </c>
    </row>
    <row r="3">
      <c r="A3" s="77" t="s">
        <v>1153</v>
      </c>
      <c r="B3" s="77" t="s">
        <v>1156</v>
      </c>
      <c r="C3" s="77">
        <v>1.0</v>
      </c>
      <c r="D3" s="78"/>
      <c r="E3" s="77">
        <v>1.0</v>
      </c>
      <c r="F3" s="77"/>
      <c r="G3" s="80"/>
      <c r="H3" s="80"/>
      <c r="I3" s="77"/>
      <c r="J3" s="80"/>
      <c r="K3" s="80"/>
      <c r="L3" s="54" t="s">
        <v>1151</v>
      </c>
      <c r="M3" s="77" t="s">
        <v>1452</v>
      </c>
      <c r="N3" s="77" t="s">
        <v>1453</v>
      </c>
      <c r="O3" s="77" t="s">
        <v>1454</v>
      </c>
      <c r="P3" s="77">
        <v>30600.0</v>
      </c>
      <c r="Q3" s="80"/>
      <c r="R3" s="80"/>
      <c r="S3" s="80"/>
      <c r="T3" s="80"/>
      <c r="U3" s="80"/>
      <c r="V3" s="80"/>
      <c r="W3" s="80"/>
      <c r="X3" s="80"/>
      <c r="Y3" s="80"/>
      <c r="Z3" s="77">
        <v>126977.0</v>
      </c>
      <c r="AA3" s="77">
        <v>126977.0</v>
      </c>
      <c r="AB3" s="77" t="s">
        <v>668</v>
      </c>
      <c r="AC3" s="77" t="s">
        <v>1455</v>
      </c>
    </row>
    <row r="4">
      <c r="A4" s="77" t="s">
        <v>1153</v>
      </c>
      <c r="B4" s="77" t="s">
        <v>1159</v>
      </c>
      <c r="C4" s="77">
        <v>2.0</v>
      </c>
      <c r="D4" s="78"/>
      <c r="E4" s="77">
        <v>1.0</v>
      </c>
      <c r="F4" s="77"/>
      <c r="G4" s="80"/>
      <c r="H4" s="80"/>
      <c r="I4" s="77"/>
      <c r="J4" s="80"/>
      <c r="K4" s="80"/>
      <c r="L4" s="54" t="s">
        <v>1151</v>
      </c>
      <c r="M4" s="77" t="s">
        <v>1452</v>
      </c>
      <c r="N4" s="77" t="s">
        <v>1456</v>
      </c>
      <c r="O4" s="77" t="s">
        <v>1454</v>
      </c>
      <c r="P4" s="77">
        <v>29540.0</v>
      </c>
      <c r="Q4" s="80"/>
      <c r="R4" s="80"/>
      <c r="S4" s="80"/>
      <c r="T4" s="80"/>
      <c r="U4" s="80"/>
      <c r="V4" s="80"/>
      <c r="W4" s="80"/>
      <c r="X4" s="80"/>
      <c r="Y4" s="80"/>
      <c r="Z4" s="77">
        <v>122048.0</v>
      </c>
      <c r="AA4" s="77">
        <v>122048.0</v>
      </c>
      <c r="AB4" s="77" t="s">
        <v>668</v>
      </c>
      <c r="AC4" s="77" t="s">
        <v>1457</v>
      </c>
    </row>
    <row r="5">
      <c r="A5" s="77" t="s">
        <v>1160</v>
      </c>
      <c r="B5" s="77" t="s">
        <v>1163</v>
      </c>
      <c r="C5" s="77">
        <v>1.0</v>
      </c>
      <c r="D5" s="78"/>
      <c r="E5" s="77">
        <v>1.0</v>
      </c>
      <c r="F5" s="77"/>
      <c r="G5" s="80"/>
      <c r="H5" s="77"/>
      <c r="I5" s="80"/>
      <c r="J5" s="80"/>
      <c r="K5" s="80"/>
      <c r="L5" s="54" t="s">
        <v>1151</v>
      </c>
      <c r="M5" s="77" t="s">
        <v>1452</v>
      </c>
      <c r="N5" s="77" t="s">
        <v>1458</v>
      </c>
      <c r="O5" s="77" t="s">
        <v>1454</v>
      </c>
      <c r="P5" s="77">
        <v>58730.0</v>
      </c>
      <c r="Q5" s="80"/>
      <c r="R5" s="80"/>
      <c r="S5" s="80"/>
      <c r="T5" s="80"/>
      <c r="U5" s="80"/>
      <c r="V5" s="80"/>
      <c r="W5" s="80"/>
      <c r="X5" s="80"/>
      <c r="Y5" s="80"/>
      <c r="Z5" s="77">
        <v>252970.0</v>
      </c>
      <c r="AA5" s="81">
        <v>72960.0</v>
      </c>
      <c r="AB5" s="77" t="s">
        <v>1459</v>
      </c>
      <c r="AC5" s="77" t="s">
        <v>1460</v>
      </c>
    </row>
    <row r="6">
      <c r="A6" s="77" t="s">
        <v>1160</v>
      </c>
      <c r="B6" s="77" t="s">
        <v>1165</v>
      </c>
      <c r="C6" s="77">
        <v>1.0</v>
      </c>
      <c r="D6" s="78"/>
      <c r="E6" s="77">
        <v>1.0</v>
      </c>
      <c r="F6" s="77"/>
      <c r="G6" s="80"/>
      <c r="H6" s="80"/>
      <c r="I6" s="77"/>
      <c r="J6" s="80"/>
      <c r="K6" s="80"/>
      <c r="L6" s="54" t="s">
        <v>1151</v>
      </c>
      <c r="M6" s="77" t="s">
        <v>1452</v>
      </c>
      <c r="N6" s="77" t="s">
        <v>1458</v>
      </c>
      <c r="O6" s="77" t="s">
        <v>1454</v>
      </c>
      <c r="P6" s="77">
        <v>58730.0</v>
      </c>
      <c r="Q6" s="80"/>
      <c r="R6" s="80"/>
      <c r="S6" s="80"/>
      <c r="T6" s="80"/>
      <c r="U6" s="80"/>
      <c r="V6" s="80"/>
      <c r="W6" s="80"/>
      <c r="X6" s="80"/>
      <c r="Y6" s="80"/>
      <c r="Z6" s="77">
        <v>252970.0</v>
      </c>
      <c r="AA6" s="81">
        <v>105000.0</v>
      </c>
      <c r="AB6" s="77" t="s">
        <v>1459</v>
      </c>
      <c r="AC6" s="77" t="s">
        <v>1461</v>
      </c>
    </row>
    <row r="7">
      <c r="A7" s="77" t="s">
        <v>1160</v>
      </c>
      <c r="B7" s="77" t="s">
        <v>1166</v>
      </c>
      <c r="C7" s="77">
        <v>1.0</v>
      </c>
      <c r="D7" s="78"/>
      <c r="E7" s="77">
        <v>1.0</v>
      </c>
      <c r="F7" s="77"/>
      <c r="G7" s="80"/>
      <c r="H7" s="80"/>
      <c r="I7" s="77"/>
      <c r="J7" s="80"/>
      <c r="K7" s="80"/>
      <c r="L7" s="54" t="s">
        <v>1151</v>
      </c>
      <c r="M7" s="77" t="s">
        <v>1452</v>
      </c>
      <c r="N7" s="77" t="s">
        <v>1458</v>
      </c>
      <c r="O7" s="77" t="s">
        <v>1454</v>
      </c>
      <c r="P7" s="77">
        <v>58730.0</v>
      </c>
      <c r="Q7" s="80"/>
      <c r="R7" s="80"/>
      <c r="S7" s="80"/>
      <c r="T7" s="80"/>
      <c r="U7" s="80"/>
      <c r="V7" s="80"/>
      <c r="W7" s="80"/>
      <c r="X7" s="80"/>
      <c r="Y7" s="80"/>
      <c r="Z7" s="77">
        <v>252970.0</v>
      </c>
      <c r="AA7" s="81">
        <v>75000.0</v>
      </c>
      <c r="AB7" s="77" t="s">
        <v>1459</v>
      </c>
      <c r="AC7" s="77" t="s">
        <v>1462</v>
      </c>
    </row>
    <row r="8">
      <c r="A8" s="77" t="s">
        <v>1160</v>
      </c>
      <c r="B8" s="77" t="s">
        <v>1167</v>
      </c>
      <c r="C8" s="77">
        <v>2.0</v>
      </c>
      <c r="D8" s="78"/>
      <c r="E8" s="77">
        <v>1.0</v>
      </c>
      <c r="F8" s="77"/>
      <c r="G8" s="80"/>
      <c r="H8" s="77"/>
      <c r="I8" s="77"/>
      <c r="J8" s="80"/>
      <c r="K8" s="80"/>
      <c r="L8" s="54" t="s">
        <v>1151</v>
      </c>
      <c r="M8" s="77" t="s">
        <v>1452</v>
      </c>
      <c r="N8" s="77" t="s">
        <v>1463</v>
      </c>
      <c r="O8" s="77" t="s">
        <v>1454</v>
      </c>
      <c r="P8" s="77">
        <v>62640.0</v>
      </c>
      <c r="Q8" s="80"/>
      <c r="R8" s="80"/>
      <c r="S8" s="80"/>
      <c r="T8" s="80"/>
      <c r="U8" s="80"/>
      <c r="V8" s="80"/>
      <c r="W8" s="80"/>
      <c r="X8" s="80"/>
      <c r="Y8" s="80"/>
      <c r="Z8" s="77">
        <v>250678.0</v>
      </c>
      <c r="AA8" s="81">
        <v>192040.0</v>
      </c>
      <c r="AB8" s="77" t="s">
        <v>1459</v>
      </c>
      <c r="AC8" s="77" t="s">
        <v>1464</v>
      </c>
    </row>
    <row r="9">
      <c r="A9" s="77" t="s">
        <v>1160</v>
      </c>
      <c r="B9" s="77" t="s">
        <v>1168</v>
      </c>
      <c r="C9" s="77">
        <v>2.0</v>
      </c>
      <c r="D9" s="78"/>
      <c r="E9" s="77">
        <v>1.0</v>
      </c>
      <c r="F9" s="77"/>
      <c r="G9" s="80"/>
      <c r="H9" s="77"/>
      <c r="I9" s="77"/>
      <c r="J9" s="80"/>
      <c r="K9" s="80"/>
      <c r="L9" s="54" t="s">
        <v>1151</v>
      </c>
      <c r="M9" s="77" t="s">
        <v>1452</v>
      </c>
      <c r="N9" s="77" t="s">
        <v>1463</v>
      </c>
      <c r="O9" s="77" t="s">
        <v>1454</v>
      </c>
      <c r="P9" s="77">
        <v>62640.0</v>
      </c>
      <c r="Q9" s="80"/>
      <c r="R9" s="80"/>
      <c r="S9" s="80"/>
      <c r="T9" s="80"/>
      <c r="U9" s="80"/>
      <c r="V9" s="80"/>
      <c r="W9" s="80"/>
      <c r="X9" s="80"/>
      <c r="Y9" s="80"/>
      <c r="Z9" s="77">
        <v>250678.0</v>
      </c>
      <c r="AA9" s="81">
        <v>11940.0</v>
      </c>
      <c r="AB9" s="77" t="s">
        <v>1459</v>
      </c>
      <c r="AC9" s="77" t="s">
        <v>1465</v>
      </c>
    </row>
    <row r="10">
      <c r="A10" s="77" t="s">
        <v>1160</v>
      </c>
      <c r="B10" s="77" t="s">
        <v>1169</v>
      </c>
      <c r="C10" s="77">
        <v>2.0</v>
      </c>
      <c r="D10" s="78"/>
      <c r="E10" s="77">
        <v>1.0</v>
      </c>
      <c r="F10" s="77"/>
      <c r="G10" s="80"/>
      <c r="H10" s="77"/>
      <c r="I10" s="77"/>
      <c r="J10" s="80"/>
      <c r="K10" s="80"/>
      <c r="L10" s="54" t="s">
        <v>1151</v>
      </c>
      <c r="M10" s="77" t="s">
        <v>1452</v>
      </c>
      <c r="N10" s="77" t="s">
        <v>1463</v>
      </c>
      <c r="O10" s="77" t="s">
        <v>1454</v>
      </c>
      <c r="P10" s="77">
        <v>62640.0</v>
      </c>
      <c r="Q10" s="80"/>
      <c r="R10" s="80"/>
      <c r="S10" s="80"/>
      <c r="T10" s="80"/>
      <c r="U10" s="80"/>
      <c r="V10" s="80"/>
      <c r="W10" s="80"/>
      <c r="X10" s="80"/>
      <c r="Y10" s="80"/>
      <c r="Z10" s="77">
        <v>250678.0</v>
      </c>
      <c r="AA10" s="81">
        <v>25000.0</v>
      </c>
      <c r="AB10" s="77" t="s">
        <v>1459</v>
      </c>
      <c r="AC10" s="77" t="s">
        <v>1466</v>
      </c>
    </row>
    <row r="11">
      <c r="A11" s="77" t="s">
        <v>1160</v>
      </c>
      <c r="B11" s="77" t="s">
        <v>1170</v>
      </c>
      <c r="C11" s="77">
        <v>2.0</v>
      </c>
      <c r="D11" s="78"/>
      <c r="E11" s="77">
        <v>1.0</v>
      </c>
      <c r="F11" s="80"/>
      <c r="G11" s="80"/>
      <c r="H11" s="77"/>
      <c r="I11" s="77"/>
      <c r="J11" s="80"/>
      <c r="K11" s="80"/>
      <c r="L11" s="54" t="s">
        <v>1151</v>
      </c>
      <c r="M11" s="77" t="s">
        <v>1452</v>
      </c>
      <c r="N11" s="77" t="s">
        <v>1463</v>
      </c>
      <c r="O11" s="77" t="s">
        <v>1454</v>
      </c>
      <c r="P11" s="77">
        <v>62640.0</v>
      </c>
      <c r="Q11" s="80"/>
      <c r="R11" s="80"/>
      <c r="S11" s="80"/>
      <c r="T11" s="80"/>
      <c r="U11" s="80"/>
      <c r="V11" s="80"/>
      <c r="W11" s="80"/>
      <c r="X11" s="80"/>
      <c r="Y11" s="80"/>
      <c r="Z11" s="77">
        <v>250678.0</v>
      </c>
      <c r="AA11" s="81">
        <v>10000.0</v>
      </c>
      <c r="AB11" s="77" t="s">
        <v>1459</v>
      </c>
      <c r="AC11" s="77" t="s">
        <v>1467</v>
      </c>
    </row>
    <row r="12">
      <c r="A12" s="77" t="s">
        <v>1160</v>
      </c>
      <c r="B12" s="77" t="s">
        <v>1171</v>
      </c>
      <c r="C12" s="77">
        <v>3.0</v>
      </c>
      <c r="D12" s="78"/>
      <c r="E12" s="77">
        <v>1.0</v>
      </c>
      <c r="F12" s="77"/>
      <c r="G12" s="80"/>
      <c r="H12" s="77"/>
      <c r="I12" s="77"/>
      <c r="J12" s="80"/>
      <c r="K12" s="80"/>
      <c r="L12" s="54" t="s">
        <v>1151</v>
      </c>
      <c r="M12" s="77" t="s">
        <v>1452</v>
      </c>
      <c r="N12" s="77" t="s">
        <v>1468</v>
      </c>
      <c r="O12" s="77" t="s">
        <v>1454</v>
      </c>
      <c r="P12" s="77">
        <v>25800.0</v>
      </c>
      <c r="Q12" s="80"/>
      <c r="R12" s="80"/>
      <c r="S12" s="80"/>
      <c r="T12" s="80"/>
      <c r="U12" s="80"/>
      <c r="V12" s="80"/>
      <c r="W12" s="80"/>
      <c r="X12" s="80"/>
      <c r="Y12" s="80"/>
      <c r="Z12" s="77">
        <v>105730.0</v>
      </c>
      <c r="AA12" s="81">
        <v>49000.0</v>
      </c>
      <c r="AB12" s="77" t="s">
        <v>1459</v>
      </c>
      <c r="AC12" s="77" t="s">
        <v>1469</v>
      </c>
    </row>
    <row r="13">
      <c r="A13" s="81" t="s">
        <v>1160</v>
      </c>
      <c r="B13" s="81"/>
      <c r="C13" s="81" t="s">
        <v>1470</v>
      </c>
      <c r="D13" s="81"/>
      <c r="E13" s="81"/>
      <c r="F13" s="81"/>
      <c r="G13" s="82"/>
      <c r="H13" s="81"/>
      <c r="I13" s="81"/>
      <c r="J13" s="82"/>
      <c r="K13" s="82"/>
      <c r="L13" s="54" t="s">
        <v>668</v>
      </c>
      <c r="M13" s="81" t="s">
        <v>1471</v>
      </c>
      <c r="N13" s="81" t="s">
        <v>1472</v>
      </c>
      <c r="O13" s="81" t="s">
        <v>1473</v>
      </c>
      <c r="P13" s="81">
        <v>23800.0</v>
      </c>
      <c r="Q13" s="82"/>
      <c r="R13" s="82"/>
      <c r="S13" s="82"/>
      <c r="T13" s="82"/>
      <c r="U13" s="82"/>
      <c r="V13" s="82"/>
      <c r="W13" s="82"/>
      <c r="X13" s="82"/>
      <c r="Y13" s="82"/>
      <c r="Z13" s="81">
        <v>61775.0</v>
      </c>
      <c r="AA13" s="81">
        <v>0.0</v>
      </c>
      <c r="AB13" s="81" t="s">
        <v>1474</v>
      </c>
      <c r="AC13" s="81" t="s">
        <v>1475</v>
      </c>
    </row>
    <row r="14">
      <c r="A14" s="77" t="s">
        <v>1160</v>
      </c>
      <c r="B14" s="77" t="s">
        <v>1172</v>
      </c>
      <c r="C14" s="77">
        <v>5.0</v>
      </c>
      <c r="D14" s="78"/>
      <c r="E14" s="77">
        <v>1.0</v>
      </c>
      <c r="F14" s="77"/>
      <c r="G14" s="77"/>
      <c r="H14" s="77"/>
      <c r="I14" s="77"/>
      <c r="J14" s="80"/>
      <c r="K14" s="80"/>
      <c r="L14" s="54" t="s">
        <v>1151</v>
      </c>
      <c r="M14" s="77" t="s">
        <v>1448</v>
      </c>
      <c r="N14" s="77" t="s">
        <v>1476</v>
      </c>
      <c r="O14" s="77" t="s">
        <v>1450</v>
      </c>
      <c r="P14" s="77">
        <v>33200.0</v>
      </c>
      <c r="Q14" s="80"/>
      <c r="R14" s="80"/>
      <c r="S14" s="77">
        <v>95.94</v>
      </c>
      <c r="T14" s="80"/>
      <c r="U14" s="80"/>
      <c r="V14" s="80"/>
      <c r="W14" s="80"/>
      <c r="X14" s="80"/>
      <c r="Y14" s="80"/>
      <c r="Z14" s="77">
        <v>138575.0</v>
      </c>
      <c r="AA14" s="77">
        <v>138575.0</v>
      </c>
      <c r="AB14" s="77" t="s">
        <v>668</v>
      </c>
      <c r="AC14" s="77" t="s">
        <v>1477</v>
      </c>
    </row>
    <row r="15">
      <c r="A15" s="77" t="s">
        <v>1160</v>
      </c>
      <c r="B15" s="77" t="s">
        <v>1173</v>
      </c>
      <c r="C15" s="77">
        <v>6.0</v>
      </c>
      <c r="D15" s="78"/>
      <c r="E15" s="77">
        <v>1.0</v>
      </c>
      <c r="F15" s="77"/>
      <c r="G15" s="80"/>
      <c r="H15" s="80"/>
      <c r="I15" s="80"/>
      <c r="J15" s="80"/>
      <c r="K15" s="80"/>
      <c r="L15" s="54" t="s">
        <v>1151</v>
      </c>
      <c r="M15" s="77" t="s">
        <v>1448</v>
      </c>
      <c r="N15" s="77" t="s">
        <v>1478</v>
      </c>
      <c r="O15" s="77" t="s">
        <v>1450</v>
      </c>
      <c r="P15" s="77">
        <v>26120.0</v>
      </c>
      <c r="Q15" s="80"/>
      <c r="R15" s="80"/>
      <c r="S15" s="77">
        <v>91.19</v>
      </c>
      <c r="T15" s="80"/>
      <c r="U15" s="80"/>
      <c r="V15" s="80"/>
      <c r="W15" s="80"/>
      <c r="X15" s="80"/>
      <c r="Y15" s="80"/>
      <c r="Z15" s="77">
        <v>103494.0</v>
      </c>
      <c r="AA15" s="77">
        <v>103494.0</v>
      </c>
      <c r="AB15" s="77" t="s">
        <v>668</v>
      </c>
      <c r="AC15" s="77" t="s">
        <v>1479</v>
      </c>
    </row>
    <row r="16">
      <c r="A16" s="21" t="s">
        <v>1160</v>
      </c>
      <c r="B16" s="21" t="s">
        <v>1174</v>
      </c>
      <c r="C16" s="21">
        <v>7.0</v>
      </c>
      <c r="D16" s="21"/>
      <c r="E16" s="21"/>
      <c r="F16" s="21"/>
      <c r="G16" s="83"/>
      <c r="H16" s="21"/>
      <c r="I16" s="21"/>
      <c r="J16" s="83"/>
      <c r="K16" s="83"/>
      <c r="L16" s="54" t="s">
        <v>668</v>
      </c>
      <c r="M16" s="21" t="s">
        <v>1471</v>
      </c>
      <c r="N16" s="21" t="s">
        <v>1480</v>
      </c>
      <c r="O16" s="21" t="s">
        <v>1473</v>
      </c>
      <c r="P16" s="21">
        <v>56400.0</v>
      </c>
      <c r="Q16" s="83"/>
      <c r="R16" s="83"/>
      <c r="S16" s="83"/>
      <c r="T16" s="83"/>
      <c r="U16" s="83"/>
      <c r="V16" s="83"/>
      <c r="W16" s="83"/>
      <c r="X16" s="83"/>
      <c r="Y16" s="83"/>
      <c r="Z16" s="21">
        <v>176882.0</v>
      </c>
      <c r="AA16" s="21">
        <v>150000.0</v>
      </c>
      <c r="AB16" s="21" t="s">
        <v>668</v>
      </c>
      <c r="AC16" s="21" t="s">
        <v>1481</v>
      </c>
    </row>
    <row r="17">
      <c r="A17" s="21" t="s">
        <v>1160</v>
      </c>
      <c r="B17" s="21" t="s">
        <v>1176</v>
      </c>
      <c r="C17" s="21">
        <v>7.0</v>
      </c>
      <c r="D17" s="21"/>
      <c r="E17" s="21"/>
      <c r="F17" s="21"/>
      <c r="G17" s="83"/>
      <c r="H17" s="21"/>
      <c r="I17" s="21"/>
      <c r="J17" s="83"/>
      <c r="K17" s="83"/>
      <c r="L17" s="54" t="s">
        <v>668</v>
      </c>
      <c r="M17" s="21" t="s">
        <v>1471</v>
      </c>
      <c r="N17" s="21" t="s">
        <v>1480</v>
      </c>
      <c r="O17" s="21" t="s">
        <v>1473</v>
      </c>
      <c r="P17" s="21">
        <v>56400.0</v>
      </c>
      <c r="Q17" s="83"/>
      <c r="R17" s="83"/>
      <c r="S17" s="83"/>
      <c r="T17" s="83"/>
      <c r="U17" s="83"/>
      <c r="V17" s="83"/>
      <c r="W17" s="83"/>
      <c r="X17" s="83"/>
      <c r="Y17" s="83"/>
      <c r="Z17" s="21">
        <v>176882.0</v>
      </c>
      <c r="AA17" s="21">
        <v>26882.0</v>
      </c>
      <c r="AB17" s="21" t="s">
        <v>668</v>
      </c>
      <c r="AC17" s="21" t="s">
        <v>1482</v>
      </c>
    </row>
    <row r="18">
      <c r="A18" s="21" t="s">
        <v>1160</v>
      </c>
      <c r="B18" s="21" t="s">
        <v>1177</v>
      </c>
      <c r="C18" s="21">
        <v>8.0</v>
      </c>
      <c r="D18" s="21"/>
      <c r="E18" s="21"/>
      <c r="F18" s="21"/>
      <c r="G18" s="83"/>
      <c r="H18" s="21"/>
      <c r="I18" s="21"/>
      <c r="J18" s="83"/>
      <c r="K18" s="83"/>
      <c r="L18" s="54" t="s">
        <v>668</v>
      </c>
      <c r="M18" s="21" t="s">
        <v>1471</v>
      </c>
      <c r="N18" s="21" t="s">
        <v>1483</v>
      </c>
      <c r="O18" s="21" t="s">
        <v>1473</v>
      </c>
      <c r="P18" s="21">
        <v>26360.0</v>
      </c>
      <c r="Q18" s="83"/>
      <c r="R18" s="83"/>
      <c r="S18" s="83"/>
      <c r="T18" s="83"/>
      <c r="U18" s="83"/>
      <c r="V18" s="83"/>
      <c r="W18" s="83"/>
      <c r="X18" s="83"/>
      <c r="Y18" s="83"/>
      <c r="Z18" s="21">
        <v>57125.0</v>
      </c>
      <c r="AA18" s="21">
        <v>23118.0</v>
      </c>
      <c r="AB18" s="21" t="s">
        <v>668</v>
      </c>
      <c r="AC18" s="21" t="s">
        <v>1484</v>
      </c>
    </row>
    <row r="19">
      <c r="A19" s="21" t="s">
        <v>1160</v>
      </c>
      <c r="B19" s="21" t="s">
        <v>1178</v>
      </c>
      <c r="C19" s="21">
        <v>8.0</v>
      </c>
      <c r="D19" s="21"/>
      <c r="E19" s="21"/>
      <c r="F19" s="21"/>
      <c r="G19" s="83"/>
      <c r="H19" s="21"/>
      <c r="I19" s="21"/>
      <c r="J19" s="83"/>
      <c r="K19" s="83"/>
      <c r="L19" s="54" t="s">
        <v>668</v>
      </c>
      <c r="M19" s="21" t="s">
        <v>1471</v>
      </c>
      <c r="N19" s="21" t="s">
        <v>1483</v>
      </c>
      <c r="O19" s="21" t="s">
        <v>1473</v>
      </c>
      <c r="P19" s="21">
        <v>26360.0</v>
      </c>
      <c r="Q19" s="83"/>
      <c r="R19" s="83"/>
      <c r="S19" s="83"/>
      <c r="T19" s="83"/>
      <c r="U19" s="83"/>
      <c r="V19" s="83"/>
      <c r="W19" s="83"/>
      <c r="X19" s="83"/>
      <c r="Y19" s="83"/>
      <c r="Z19" s="21">
        <v>57125.0</v>
      </c>
      <c r="AA19" s="21">
        <v>34007.0</v>
      </c>
      <c r="AB19" s="21" t="s">
        <v>668</v>
      </c>
      <c r="AC19" s="21" t="s">
        <v>1485</v>
      </c>
    </row>
    <row r="20">
      <c r="A20" s="21" t="s">
        <v>1179</v>
      </c>
      <c r="B20" s="21" t="s">
        <v>1183</v>
      </c>
      <c r="C20" s="21">
        <v>2.0</v>
      </c>
      <c r="D20" s="21"/>
      <c r="E20" s="21"/>
      <c r="F20" s="21"/>
      <c r="G20" s="83"/>
      <c r="H20" s="21"/>
      <c r="I20" s="21"/>
      <c r="J20" s="83"/>
      <c r="K20" s="83"/>
      <c r="L20" s="54" t="s">
        <v>668</v>
      </c>
      <c r="M20" s="21" t="s">
        <v>1471</v>
      </c>
      <c r="N20" s="21" t="s">
        <v>1486</v>
      </c>
      <c r="O20" s="21" t="s">
        <v>1473</v>
      </c>
      <c r="P20" s="83"/>
      <c r="Q20" s="21">
        <v>6459.0</v>
      </c>
      <c r="R20" s="83"/>
      <c r="S20" s="83"/>
      <c r="T20" s="83"/>
      <c r="U20" s="83"/>
      <c r="V20" s="83"/>
      <c r="W20" s="83"/>
      <c r="X20" s="83"/>
      <c r="Y20" s="83"/>
      <c r="Z20" s="21">
        <v>12510.0</v>
      </c>
      <c r="AA20" s="21">
        <v>12510.0</v>
      </c>
      <c r="AB20" s="21" t="s">
        <v>668</v>
      </c>
      <c r="AC20" s="21" t="s">
        <v>1487</v>
      </c>
    </row>
    <row r="21">
      <c r="A21" s="77" t="s">
        <v>1185</v>
      </c>
      <c r="B21" s="77" t="s">
        <v>1189</v>
      </c>
      <c r="C21" s="77">
        <v>1.0</v>
      </c>
      <c r="D21" s="77">
        <v>1.0</v>
      </c>
      <c r="E21" s="77"/>
      <c r="F21" s="77"/>
      <c r="G21" s="80"/>
      <c r="H21" s="80"/>
      <c r="I21" s="80"/>
      <c r="J21" s="80"/>
      <c r="K21" s="80"/>
      <c r="L21" s="54" t="s">
        <v>1151</v>
      </c>
      <c r="M21" s="77" t="s">
        <v>1448</v>
      </c>
      <c r="N21" s="77" t="s">
        <v>1488</v>
      </c>
      <c r="O21" s="77" t="s">
        <v>1450</v>
      </c>
      <c r="P21" s="77">
        <v>21480.0</v>
      </c>
      <c r="Q21" s="80"/>
      <c r="R21" s="77">
        <v>91.5</v>
      </c>
      <c r="S21" s="80"/>
      <c r="T21" s="80"/>
      <c r="U21" s="80"/>
      <c r="V21" s="80"/>
      <c r="W21" s="80"/>
      <c r="X21" s="80"/>
      <c r="Y21" s="80"/>
      <c r="Z21" s="77">
        <v>35437.0</v>
      </c>
      <c r="AA21" s="77">
        <v>27437.0</v>
      </c>
      <c r="AB21" s="77" t="s">
        <v>1459</v>
      </c>
      <c r="AC21" s="77" t="s">
        <v>1489</v>
      </c>
    </row>
    <row r="22">
      <c r="A22" s="77" t="s">
        <v>1191</v>
      </c>
      <c r="B22" s="77" t="s">
        <v>1194</v>
      </c>
      <c r="C22" s="77">
        <v>1.0</v>
      </c>
      <c r="D22" s="78"/>
      <c r="E22" s="77">
        <v>1.0</v>
      </c>
      <c r="F22" s="77"/>
      <c r="G22" s="80"/>
      <c r="H22" s="80"/>
      <c r="I22" s="80"/>
      <c r="J22" s="80"/>
      <c r="K22" s="80"/>
      <c r="L22" s="54" t="s">
        <v>1151</v>
      </c>
      <c r="M22" s="77" t="s">
        <v>1452</v>
      </c>
      <c r="N22" s="77" t="s">
        <v>1490</v>
      </c>
      <c r="O22" s="77" t="s">
        <v>1454</v>
      </c>
      <c r="P22" s="77">
        <v>24895.0</v>
      </c>
      <c r="Q22" s="80"/>
      <c r="R22" s="80"/>
      <c r="S22" s="80"/>
      <c r="T22" s="80"/>
      <c r="U22" s="80"/>
      <c r="V22" s="80"/>
      <c r="W22" s="80"/>
      <c r="X22" s="80"/>
      <c r="Y22" s="80"/>
      <c r="Z22" s="77">
        <v>106398.0</v>
      </c>
      <c r="AA22" s="77">
        <v>100000.0</v>
      </c>
      <c r="AB22" s="77" t="s">
        <v>668</v>
      </c>
      <c r="AC22" s="77" t="s">
        <v>1491</v>
      </c>
    </row>
    <row r="23">
      <c r="A23" s="77" t="s">
        <v>1191</v>
      </c>
      <c r="B23" s="77" t="s">
        <v>1196</v>
      </c>
      <c r="C23" s="77">
        <v>1.0</v>
      </c>
      <c r="D23" s="78"/>
      <c r="E23" s="77">
        <v>1.0</v>
      </c>
      <c r="F23" s="77"/>
      <c r="G23" s="80"/>
      <c r="H23" s="80"/>
      <c r="I23" s="80"/>
      <c r="J23" s="80"/>
      <c r="K23" s="80"/>
      <c r="L23" s="54" t="s">
        <v>1151</v>
      </c>
      <c r="M23" s="77" t="s">
        <v>1452</v>
      </c>
      <c r="N23" s="77" t="s">
        <v>1490</v>
      </c>
      <c r="O23" s="77" t="s">
        <v>1454</v>
      </c>
      <c r="P23" s="77">
        <v>24895.0</v>
      </c>
      <c r="Q23" s="80"/>
      <c r="R23" s="80"/>
      <c r="S23" s="80"/>
      <c r="T23" s="80"/>
      <c r="U23" s="80"/>
      <c r="V23" s="80"/>
      <c r="W23" s="80"/>
      <c r="X23" s="80"/>
      <c r="Y23" s="80"/>
      <c r="Z23" s="77">
        <v>106398.0</v>
      </c>
      <c r="AA23" s="77">
        <v>6398.0</v>
      </c>
      <c r="AB23" s="77" t="s">
        <v>668</v>
      </c>
      <c r="AC23" s="77" t="s">
        <v>1492</v>
      </c>
    </row>
    <row r="24">
      <c r="A24" s="8" t="s">
        <v>1191</v>
      </c>
      <c r="B24" s="8" t="s">
        <v>1197</v>
      </c>
      <c r="C24" s="8">
        <v>2.0</v>
      </c>
      <c r="L24" s="54" t="s">
        <v>668</v>
      </c>
      <c r="M24" s="8" t="s">
        <v>1471</v>
      </c>
      <c r="N24" s="8" t="s">
        <v>1493</v>
      </c>
      <c r="O24" s="8" t="s">
        <v>1473</v>
      </c>
      <c r="P24" s="8">
        <v>33360.0</v>
      </c>
      <c r="Z24" s="8">
        <v>109653.0</v>
      </c>
      <c r="AA24" s="8">
        <v>109653.0</v>
      </c>
      <c r="AB24" s="8" t="s">
        <v>668</v>
      </c>
      <c r="AC24" s="8" t="s">
        <v>1494</v>
      </c>
    </row>
    <row r="25">
      <c r="A25" s="8" t="s">
        <v>1191</v>
      </c>
      <c r="B25" s="8" t="s">
        <v>1198</v>
      </c>
      <c r="C25" s="8">
        <v>3.0</v>
      </c>
      <c r="L25" s="54" t="s">
        <v>668</v>
      </c>
      <c r="M25" s="8" t="s">
        <v>1471</v>
      </c>
      <c r="N25" s="8" t="s">
        <v>1495</v>
      </c>
      <c r="O25" s="8" t="s">
        <v>1473</v>
      </c>
      <c r="P25" s="8">
        <v>30600.0</v>
      </c>
      <c r="Z25" s="8">
        <v>94621.0</v>
      </c>
      <c r="AA25" s="8">
        <v>94621.0</v>
      </c>
      <c r="AB25" s="8" t="s">
        <v>668</v>
      </c>
      <c r="AC25" s="8" t="s">
        <v>1496</v>
      </c>
    </row>
    <row r="26">
      <c r="A26" s="77" t="s">
        <v>1199</v>
      </c>
      <c r="B26" s="77" t="s">
        <v>1202</v>
      </c>
      <c r="C26" s="77">
        <v>2.0</v>
      </c>
      <c r="D26" s="78"/>
      <c r="E26" s="77">
        <v>1.0</v>
      </c>
      <c r="F26" s="77"/>
      <c r="G26" s="80"/>
      <c r="H26" s="80"/>
      <c r="I26" s="80"/>
      <c r="J26" s="80"/>
      <c r="K26" s="80"/>
      <c r="L26" s="54" t="s">
        <v>1151</v>
      </c>
      <c r="M26" s="77" t="s">
        <v>1452</v>
      </c>
      <c r="N26" s="77" t="s">
        <v>1497</v>
      </c>
      <c r="O26" s="77" t="s">
        <v>1454</v>
      </c>
      <c r="P26" s="77">
        <v>11032.0</v>
      </c>
      <c r="Q26" s="80"/>
      <c r="R26" s="80"/>
      <c r="S26" s="80"/>
      <c r="T26" s="80"/>
      <c r="U26" s="80"/>
      <c r="V26" s="80"/>
      <c r="W26" s="80"/>
      <c r="X26" s="80"/>
      <c r="Y26" s="80"/>
      <c r="Z26" s="77">
        <v>47593.0</v>
      </c>
      <c r="AA26" s="77">
        <v>27951.0</v>
      </c>
      <c r="AB26" s="77" t="s">
        <v>1459</v>
      </c>
      <c r="AC26" s="77" t="s">
        <v>1498</v>
      </c>
    </row>
    <row r="27">
      <c r="A27" s="77" t="s">
        <v>1204</v>
      </c>
      <c r="B27" s="77" t="s">
        <v>1208</v>
      </c>
      <c r="C27" s="77">
        <v>1.0</v>
      </c>
      <c r="D27" s="78"/>
      <c r="E27" s="77">
        <v>1.0</v>
      </c>
      <c r="F27" s="77"/>
      <c r="G27" s="80"/>
      <c r="H27" s="80"/>
      <c r="I27" s="80"/>
      <c r="J27" s="80"/>
      <c r="K27" s="80"/>
      <c r="L27" s="54" t="s">
        <v>1151</v>
      </c>
      <c r="M27" s="77" t="s">
        <v>1499</v>
      </c>
      <c r="N27" s="77" t="s">
        <v>1500</v>
      </c>
      <c r="O27" s="77" t="s">
        <v>1501</v>
      </c>
      <c r="P27" s="77">
        <v>7799.0</v>
      </c>
      <c r="Q27" s="80"/>
      <c r="R27" s="80"/>
      <c r="S27" s="80"/>
      <c r="T27" s="80"/>
      <c r="U27" s="80"/>
      <c r="V27" s="80"/>
      <c r="W27" s="80"/>
      <c r="X27" s="80"/>
      <c r="Y27" s="80"/>
      <c r="Z27" s="77">
        <v>33097.0</v>
      </c>
      <c r="AA27" s="77">
        <v>33097.0</v>
      </c>
      <c r="AB27" s="77" t="s">
        <v>668</v>
      </c>
      <c r="AC27" s="77" t="s">
        <v>1502</v>
      </c>
    </row>
    <row r="28">
      <c r="A28" s="77" t="s">
        <v>1204</v>
      </c>
      <c r="B28" s="77" t="s">
        <v>1211</v>
      </c>
      <c r="C28" s="77">
        <v>2.0</v>
      </c>
      <c r="D28" s="78"/>
      <c r="E28" s="77">
        <v>1.0</v>
      </c>
      <c r="F28" s="77"/>
      <c r="G28" s="80"/>
      <c r="H28" s="80"/>
      <c r="I28" s="80"/>
      <c r="J28" s="80"/>
      <c r="K28" s="80"/>
      <c r="L28" s="54" t="s">
        <v>1151</v>
      </c>
      <c r="M28" s="77" t="s">
        <v>1499</v>
      </c>
      <c r="N28" s="77" t="s">
        <v>1503</v>
      </c>
      <c r="O28" s="77" t="s">
        <v>1501</v>
      </c>
      <c r="P28" s="77">
        <v>15269.0</v>
      </c>
      <c r="Q28" s="80"/>
      <c r="R28" s="80"/>
      <c r="S28" s="80"/>
      <c r="T28" s="80"/>
      <c r="U28" s="80"/>
      <c r="V28" s="80"/>
      <c r="W28" s="80"/>
      <c r="X28" s="80"/>
      <c r="Y28" s="80"/>
      <c r="Z28" s="77">
        <v>54406.0</v>
      </c>
      <c r="AA28" s="77">
        <v>54406.0</v>
      </c>
      <c r="AB28" s="77" t="s">
        <v>668</v>
      </c>
      <c r="AC28" s="77" t="s">
        <v>1504</v>
      </c>
    </row>
    <row r="29">
      <c r="A29" s="8" t="s">
        <v>1212</v>
      </c>
      <c r="B29" s="8" t="s">
        <v>1215</v>
      </c>
      <c r="C29" s="8">
        <v>1.0</v>
      </c>
      <c r="L29" s="54" t="s">
        <v>668</v>
      </c>
      <c r="M29" s="8" t="s">
        <v>1471</v>
      </c>
      <c r="N29" s="8" t="s">
        <v>1505</v>
      </c>
      <c r="O29" s="8" t="s">
        <v>1506</v>
      </c>
      <c r="P29" s="8">
        <v>50220.0</v>
      </c>
      <c r="Z29" s="8">
        <v>113474.0</v>
      </c>
      <c r="AA29" s="8">
        <v>63474.0</v>
      </c>
      <c r="AB29" s="8" t="s">
        <v>668</v>
      </c>
      <c r="AC29" s="8" t="s">
        <v>1507</v>
      </c>
    </row>
    <row r="30">
      <c r="A30" s="8" t="s">
        <v>1212</v>
      </c>
      <c r="B30" s="8" t="s">
        <v>1217</v>
      </c>
      <c r="C30" s="8">
        <v>1.0</v>
      </c>
      <c r="L30" s="54" t="s">
        <v>668</v>
      </c>
      <c r="M30" s="8" t="s">
        <v>1471</v>
      </c>
      <c r="N30" s="8" t="s">
        <v>1505</v>
      </c>
      <c r="O30" s="8" t="s">
        <v>1506</v>
      </c>
      <c r="P30" s="8">
        <v>50220.0</v>
      </c>
      <c r="Z30" s="8">
        <v>113474.0</v>
      </c>
      <c r="AA30" s="8">
        <v>50000.0</v>
      </c>
      <c r="AB30" s="8" t="s">
        <v>668</v>
      </c>
      <c r="AC30" s="8" t="s">
        <v>1508</v>
      </c>
    </row>
    <row r="31">
      <c r="A31" s="21" t="s">
        <v>1212</v>
      </c>
      <c r="B31" s="21" t="s">
        <v>1218</v>
      </c>
      <c r="C31" s="21">
        <v>2.0</v>
      </c>
      <c r="D31" s="21"/>
      <c r="E31" s="21"/>
      <c r="F31" s="21"/>
      <c r="G31" s="83"/>
      <c r="H31" s="21"/>
      <c r="I31" s="21"/>
      <c r="J31" s="83"/>
      <c r="K31" s="83"/>
      <c r="L31" s="54" t="s">
        <v>668</v>
      </c>
      <c r="M31" s="21" t="s">
        <v>1471</v>
      </c>
      <c r="N31" s="21" t="s">
        <v>1509</v>
      </c>
      <c r="O31" s="21" t="s">
        <v>1473</v>
      </c>
      <c r="P31" s="21">
        <v>24960.0</v>
      </c>
      <c r="Q31" s="83"/>
      <c r="R31" s="83"/>
      <c r="S31" s="83"/>
      <c r="T31" s="83"/>
      <c r="U31" s="83"/>
      <c r="V31" s="83"/>
      <c r="W31" s="83"/>
      <c r="X31" s="83"/>
      <c r="Y31" s="83"/>
      <c r="Z31" s="21">
        <v>87641.0</v>
      </c>
      <c r="AA31" s="21">
        <v>87641.0</v>
      </c>
      <c r="AB31" s="21" t="s">
        <v>668</v>
      </c>
      <c r="AC31" s="21" t="s">
        <v>1510</v>
      </c>
    </row>
    <row r="32">
      <c r="A32" s="84" t="s">
        <v>1212</v>
      </c>
      <c r="B32" s="84" t="s">
        <v>1219</v>
      </c>
      <c r="C32" s="84">
        <v>3.0</v>
      </c>
      <c r="D32" s="84">
        <v>0.2376</v>
      </c>
      <c r="E32" s="84">
        <v>0.7624</v>
      </c>
      <c r="F32" s="84">
        <v>0.0</v>
      </c>
      <c r="G32" s="84">
        <v>0.0</v>
      </c>
      <c r="H32" s="84">
        <v>0.0</v>
      </c>
      <c r="I32" s="84">
        <v>0.0</v>
      </c>
      <c r="J32" s="84">
        <v>0.0</v>
      </c>
      <c r="K32" s="84">
        <v>0.0</v>
      </c>
      <c r="L32" s="54" t="s">
        <v>1151</v>
      </c>
      <c r="M32" s="84" t="s">
        <v>1511</v>
      </c>
      <c r="N32" s="84" t="s">
        <v>1512</v>
      </c>
      <c r="O32" s="84" t="s">
        <v>1454</v>
      </c>
      <c r="P32" s="84">
        <v>15220.0</v>
      </c>
      <c r="Q32" s="85"/>
      <c r="R32" s="85"/>
      <c r="S32" s="85"/>
      <c r="T32" s="85"/>
      <c r="U32" s="85"/>
      <c r="V32" s="85"/>
      <c r="W32" s="85"/>
      <c r="X32" s="85"/>
      <c r="Y32" s="85"/>
      <c r="Z32" s="84">
        <v>47339.0</v>
      </c>
      <c r="AA32" s="84">
        <v>37359.0</v>
      </c>
      <c r="AB32" s="84" t="s">
        <v>668</v>
      </c>
      <c r="AC32" s="84" t="s">
        <v>1513</v>
      </c>
    </row>
    <row r="33">
      <c r="A33" s="84" t="s">
        <v>1212</v>
      </c>
      <c r="B33" s="84" t="s">
        <v>1221</v>
      </c>
      <c r="C33" s="84">
        <v>3.0</v>
      </c>
      <c r="D33" s="84">
        <v>0.2376</v>
      </c>
      <c r="E33" s="84">
        <v>0.7624</v>
      </c>
      <c r="F33" s="84">
        <v>0.0</v>
      </c>
      <c r="G33" s="84">
        <v>0.0</v>
      </c>
      <c r="H33" s="84">
        <v>0.0</v>
      </c>
      <c r="I33" s="84">
        <v>0.0</v>
      </c>
      <c r="J33" s="84">
        <v>0.0</v>
      </c>
      <c r="K33" s="84">
        <v>0.0</v>
      </c>
      <c r="L33" s="54" t="s">
        <v>1151</v>
      </c>
      <c r="M33" s="84" t="s">
        <v>1511</v>
      </c>
      <c r="N33" s="84" t="s">
        <v>1512</v>
      </c>
      <c r="O33" s="84" t="s">
        <v>1454</v>
      </c>
      <c r="P33" s="84">
        <v>15220.0</v>
      </c>
      <c r="Q33" s="85"/>
      <c r="R33" s="85"/>
      <c r="S33" s="85"/>
      <c r="T33" s="85"/>
      <c r="U33" s="85"/>
      <c r="V33" s="85"/>
      <c r="W33" s="85"/>
      <c r="X33" s="85"/>
      <c r="Y33" s="85"/>
      <c r="Z33" s="84">
        <v>47339.0</v>
      </c>
      <c r="AA33" s="84">
        <v>9980.0</v>
      </c>
      <c r="AB33" s="84" t="s">
        <v>668</v>
      </c>
      <c r="AC33" s="84" t="s">
        <v>1514</v>
      </c>
    </row>
    <row r="34">
      <c r="A34" s="8" t="s">
        <v>1212</v>
      </c>
      <c r="B34" s="8" t="s">
        <v>1222</v>
      </c>
      <c r="C34" s="8">
        <v>4.0</v>
      </c>
      <c r="L34" s="54" t="s">
        <v>668</v>
      </c>
      <c r="M34" s="8" t="s">
        <v>1471</v>
      </c>
      <c r="N34" s="8" t="s">
        <v>1515</v>
      </c>
      <c r="O34" s="8" t="s">
        <v>1473</v>
      </c>
      <c r="P34" s="8">
        <v>51080.0</v>
      </c>
      <c r="Z34" s="8">
        <v>145023.0</v>
      </c>
      <c r="AA34" s="8">
        <v>127688.0</v>
      </c>
      <c r="AB34" s="8" t="s">
        <v>1459</v>
      </c>
      <c r="AC34" s="8" t="s">
        <v>1516</v>
      </c>
    </row>
    <row r="35">
      <c r="A35" s="8" t="s">
        <v>1212</v>
      </c>
      <c r="B35" s="8" t="s">
        <v>1223</v>
      </c>
      <c r="C35" s="8">
        <v>5.0</v>
      </c>
      <c r="L35" s="54" t="s">
        <v>668</v>
      </c>
      <c r="M35" s="8" t="s">
        <v>1471</v>
      </c>
      <c r="N35" s="8" t="s">
        <v>1517</v>
      </c>
      <c r="O35" s="8" t="s">
        <v>1473</v>
      </c>
      <c r="P35" s="8">
        <v>39080.0</v>
      </c>
      <c r="Z35" s="8">
        <v>118092.0</v>
      </c>
      <c r="AA35" s="8">
        <v>117427.0</v>
      </c>
      <c r="AB35" s="8" t="s">
        <v>1459</v>
      </c>
      <c r="AC35" s="8" t="s">
        <v>1518</v>
      </c>
    </row>
    <row r="36">
      <c r="A36" s="77" t="s">
        <v>1212</v>
      </c>
      <c r="B36" s="77" t="s">
        <v>1224</v>
      </c>
      <c r="C36" s="77">
        <v>6.0</v>
      </c>
      <c r="D36" s="78"/>
      <c r="E36" s="77">
        <v>1.0</v>
      </c>
      <c r="F36" s="77"/>
      <c r="G36" s="80"/>
      <c r="H36" s="80"/>
      <c r="I36" s="80"/>
      <c r="J36" s="80"/>
      <c r="K36" s="80"/>
      <c r="L36" s="54" t="s">
        <v>1151</v>
      </c>
      <c r="M36" s="77" t="s">
        <v>1448</v>
      </c>
      <c r="N36" s="77" t="s">
        <v>1519</v>
      </c>
      <c r="O36" s="77" t="s">
        <v>1450</v>
      </c>
      <c r="P36" s="77">
        <v>15480.0</v>
      </c>
      <c r="Q36" s="80"/>
      <c r="R36" s="80"/>
      <c r="S36" s="77">
        <v>99.16</v>
      </c>
      <c r="T36" s="80"/>
      <c r="U36" s="80"/>
      <c r="V36" s="80"/>
      <c r="W36" s="80"/>
      <c r="X36" s="80"/>
      <c r="Y36" s="80"/>
      <c r="Z36" s="77">
        <v>67022.0</v>
      </c>
      <c r="AA36" s="77">
        <v>67022.0</v>
      </c>
      <c r="AB36" s="77" t="s">
        <v>668</v>
      </c>
      <c r="AC36" s="77" t="s">
        <v>1520</v>
      </c>
    </row>
    <row r="37">
      <c r="A37" s="8" t="s">
        <v>1212</v>
      </c>
      <c r="B37" s="8" t="s">
        <v>1225</v>
      </c>
      <c r="C37" s="8">
        <v>7.0</v>
      </c>
      <c r="L37" s="54" t="s">
        <v>668</v>
      </c>
      <c r="M37" s="8" t="s">
        <v>1471</v>
      </c>
      <c r="N37" s="8" t="s">
        <v>1521</v>
      </c>
      <c r="O37" s="8" t="s">
        <v>1506</v>
      </c>
      <c r="P37" s="8">
        <v>26740.0</v>
      </c>
      <c r="Z37" s="8">
        <v>87863.0</v>
      </c>
      <c r="AA37" s="8">
        <v>87863.0</v>
      </c>
      <c r="AB37" s="8" t="s">
        <v>668</v>
      </c>
      <c r="AC37" s="8" t="s">
        <v>1522</v>
      </c>
    </row>
    <row r="38">
      <c r="A38" s="77" t="s">
        <v>1226</v>
      </c>
      <c r="B38" s="77" t="s">
        <v>1229</v>
      </c>
      <c r="C38" s="77">
        <v>1.0</v>
      </c>
      <c r="D38" s="78"/>
      <c r="E38" s="77">
        <v>0.69139</v>
      </c>
      <c r="F38" s="77"/>
      <c r="G38" s="80"/>
      <c r="H38" s="77">
        <v>0.30456</v>
      </c>
      <c r="I38" s="77">
        <v>0.00405</v>
      </c>
      <c r="J38" s="80"/>
      <c r="K38" s="80"/>
      <c r="L38" s="54" t="s">
        <v>1151</v>
      </c>
      <c r="M38" s="77" t="s">
        <v>1448</v>
      </c>
      <c r="N38" s="77" t="s">
        <v>1523</v>
      </c>
      <c r="O38" s="77" t="s">
        <v>1450</v>
      </c>
      <c r="P38" s="77">
        <v>32560.0</v>
      </c>
      <c r="Q38" s="80"/>
      <c r="R38" s="80"/>
      <c r="S38" s="77">
        <v>34.88</v>
      </c>
      <c r="T38" s="80"/>
      <c r="U38" s="80"/>
      <c r="V38" s="77">
        <v>20.81</v>
      </c>
      <c r="W38" s="77">
        <v>0.59</v>
      </c>
      <c r="X38" s="80"/>
      <c r="Y38" s="80"/>
      <c r="Z38" s="77">
        <v>55730.0</v>
      </c>
      <c r="AA38" s="77">
        <v>55730.0</v>
      </c>
      <c r="AB38" s="77" t="s">
        <v>668</v>
      </c>
      <c r="AC38" s="77" t="s">
        <v>1524</v>
      </c>
    </row>
    <row r="39">
      <c r="A39" s="8" t="s">
        <v>1231</v>
      </c>
      <c r="B39" s="8" t="s">
        <v>1234</v>
      </c>
      <c r="C39" s="8">
        <v>1.0</v>
      </c>
      <c r="L39" s="54" t="s">
        <v>668</v>
      </c>
      <c r="M39" s="8" t="s">
        <v>1471</v>
      </c>
      <c r="N39" s="8" t="s">
        <v>1525</v>
      </c>
      <c r="O39" s="8" t="s">
        <v>1473</v>
      </c>
      <c r="P39" s="8">
        <v>31512.0</v>
      </c>
      <c r="Z39" s="8">
        <v>95487.0</v>
      </c>
      <c r="AA39" s="8">
        <v>95487.0</v>
      </c>
      <c r="AB39" s="8" t="s">
        <v>668</v>
      </c>
      <c r="AC39" s="8" t="s">
        <v>1526</v>
      </c>
    </row>
    <row r="40">
      <c r="A40" s="8" t="s">
        <v>1231</v>
      </c>
      <c r="B40" s="8" t="s">
        <v>1236</v>
      </c>
      <c r="C40" s="8">
        <v>2.0</v>
      </c>
      <c r="L40" s="54" t="s">
        <v>668</v>
      </c>
      <c r="M40" s="8" t="s">
        <v>1471</v>
      </c>
      <c r="N40" s="8" t="s">
        <v>1527</v>
      </c>
      <c r="O40" s="8" t="s">
        <v>1473</v>
      </c>
      <c r="P40" s="8">
        <v>17120.0</v>
      </c>
      <c r="Z40" s="8">
        <v>24912.0</v>
      </c>
      <c r="AA40" s="8">
        <v>24912.0</v>
      </c>
      <c r="AB40" s="8" t="s">
        <v>668</v>
      </c>
      <c r="AC40" s="8" t="s">
        <v>1528</v>
      </c>
    </row>
    <row r="41">
      <c r="A41" s="8" t="s">
        <v>1231</v>
      </c>
      <c r="B41" s="8" t="s">
        <v>1237</v>
      </c>
      <c r="C41" s="8">
        <v>3.0</v>
      </c>
      <c r="L41" s="54" t="s">
        <v>668</v>
      </c>
      <c r="M41" s="8" t="s">
        <v>1471</v>
      </c>
      <c r="N41" s="8" t="s">
        <v>1529</v>
      </c>
      <c r="O41" s="8" t="s">
        <v>1473</v>
      </c>
      <c r="P41" s="8">
        <v>44689.0</v>
      </c>
      <c r="Z41" s="8">
        <v>90214.0</v>
      </c>
      <c r="AA41" s="8">
        <v>90214.0</v>
      </c>
      <c r="AB41" s="8" t="s">
        <v>668</v>
      </c>
      <c r="AC41" s="8" t="s">
        <v>1530</v>
      </c>
    </row>
    <row r="42">
      <c r="A42" s="8" t="s">
        <v>1238</v>
      </c>
      <c r="B42" s="8" t="s">
        <v>1241</v>
      </c>
      <c r="C42" s="8">
        <v>1.0</v>
      </c>
      <c r="D42" s="8">
        <v>0.25792</v>
      </c>
      <c r="E42" s="8">
        <v>0.74174</v>
      </c>
      <c r="I42" s="8">
        <v>3.4E-4</v>
      </c>
      <c r="L42" s="54" t="s">
        <v>1151</v>
      </c>
      <c r="M42" s="8" t="s">
        <v>1448</v>
      </c>
      <c r="N42" s="8" t="s">
        <v>1531</v>
      </c>
      <c r="O42" s="8" t="s">
        <v>1450</v>
      </c>
      <c r="P42" s="8">
        <v>9140.0</v>
      </c>
      <c r="R42" s="8">
        <v>44.9</v>
      </c>
      <c r="S42" s="8">
        <v>53.42</v>
      </c>
      <c r="W42" s="8">
        <v>0.07</v>
      </c>
      <c r="Z42" s="8">
        <v>30061.0</v>
      </c>
      <c r="AA42" s="8">
        <v>30061.0</v>
      </c>
      <c r="AB42" s="8" t="s">
        <v>668</v>
      </c>
      <c r="AC42" s="8" t="s">
        <v>1532</v>
      </c>
    </row>
    <row r="43">
      <c r="A43" s="77" t="s">
        <v>1243</v>
      </c>
      <c r="B43" s="77" t="s">
        <v>1246</v>
      </c>
      <c r="C43" s="77">
        <v>1.0</v>
      </c>
      <c r="D43" s="77">
        <v>0.01106</v>
      </c>
      <c r="E43" s="77">
        <v>0.9723</v>
      </c>
      <c r="F43" s="77"/>
      <c r="G43" s="80"/>
      <c r="H43" s="77">
        <v>0.00134</v>
      </c>
      <c r="I43" s="77">
        <v>0.0153</v>
      </c>
      <c r="J43" s="80"/>
      <c r="K43" s="80"/>
      <c r="L43" s="54" t="s">
        <v>1151</v>
      </c>
      <c r="M43" s="77" t="s">
        <v>1448</v>
      </c>
      <c r="N43" s="77" t="s">
        <v>1533</v>
      </c>
      <c r="O43" s="77" t="s">
        <v>1450</v>
      </c>
      <c r="P43" s="77">
        <v>12900.0</v>
      </c>
      <c r="Q43" s="80"/>
      <c r="R43" s="77">
        <v>1.03</v>
      </c>
      <c r="S43" s="77">
        <v>37.46</v>
      </c>
      <c r="T43" s="80"/>
      <c r="U43" s="80"/>
      <c r="V43" s="77">
        <v>0.07</v>
      </c>
      <c r="W43" s="77">
        <v>1.7</v>
      </c>
      <c r="X43" s="80"/>
      <c r="Y43" s="80"/>
      <c r="Z43" s="77">
        <v>21870.0</v>
      </c>
      <c r="AA43" s="77">
        <v>21870.0</v>
      </c>
      <c r="AB43" s="77" t="s">
        <v>668</v>
      </c>
      <c r="AC43" s="77" t="s">
        <v>1534</v>
      </c>
    </row>
    <row r="44">
      <c r="A44" s="8" t="s">
        <v>1243</v>
      </c>
      <c r="B44" s="8" t="s">
        <v>1248</v>
      </c>
      <c r="C44" s="8">
        <v>2.0</v>
      </c>
      <c r="D44" s="8">
        <v>0.50109</v>
      </c>
      <c r="E44" s="8">
        <v>0.00212</v>
      </c>
      <c r="F44" s="8"/>
      <c r="H44" s="8">
        <v>0.49679</v>
      </c>
      <c r="L44" s="54" t="s">
        <v>1151</v>
      </c>
      <c r="M44" s="8" t="s">
        <v>1448</v>
      </c>
      <c r="N44" s="8" t="s">
        <v>1535</v>
      </c>
      <c r="O44" s="8" t="s">
        <v>1450</v>
      </c>
      <c r="P44" s="8">
        <v>31640.0</v>
      </c>
      <c r="R44" s="8">
        <v>62.79</v>
      </c>
      <c r="S44" s="8">
        <v>0.11</v>
      </c>
      <c r="V44" s="8">
        <v>34.88</v>
      </c>
      <c r="Z44" s="8">
        <v>70737.0</v>
      </c>
      <c r="AA44" s="8">
        <v>70737.0</v>
      </c>
      <c r="AB44" s="8" t="s">
        <v>668</v>
      </c>
      <c r="AC44" s="8" t="s">
        <v>1536</v>
      </c>
    </row>
    <row r="45">
      <c r="A45" s="8" t="s">
        <v>1243</v>
      </c>
      <c r="B45" s="8" t="s">
        <v>1249</v>
      </c>
      <c r="C45" s="8">
        <v>3.0</v>
      </c>
      <c r="D45" s="8">
        <v>0.3688</v>
      </c>
      <c r="E45" s="8">
        <v>0.6166</v>
      </c>
      <c r="F45" s="8"/>
      <c r="H45" s="8">
        <v>0.0055</v>
      </c>
      <c r="I45" s="8">
        <v>0.00911</v>
      </c>
      <c r="L45" s="54" t="s">
        <v>1151</v>
      </c>
      <c r="M45" s="8" t="s">
        <v>1499</v>
      </c>
      <c r="N45" s="8" t="s">
        <v>1537</v>
      </c>
      <c r="O45" s="8" t="s">
        <v>1538</v>
      </c>
      <c r="P45" s="8">
        <v>17960.0</v>
      </c>
      <c r="Z45" s="8">
        <v>40917.0</v>
      </c>
      <c r="AA45" s="8">
        <v>38704.0</v>
      </c>
      <c r="AB45" s="8" t="s">
        <v>1459</v>
      </c>
      <c r="AC45" s="8" t="s">
        <v>1539</v>
      </c>
    </row>
    <row r="46">
      <c r="A46" s="8" t="s">
        <v>1243</v>
      </c>
      <c r="B46" s="8" t="s">
        <v>1250</v>
      </c>
      <c r="C46" s="8">
        <v>4.0</v>
      </c>
      <c r="D46" s="8">
        <v>0.41039</v>
      </c>
      <c r="E46" s="8">
        <v>0.53634</v>
      </c>
      <c r="F46" s="8"/>
      <c r="H46" s="8">
        <v>0.04388</v>
      </c>
      <c r="I46" s="8">
        <v>0.0094</v>
      </c>
      <c r="L46" s="54" t="s">
        <v>1151</v>
      </c>
      <c r="M46" s="8" t="s">
        <v>1499</v>
      </c>
      <c r="N46" s="8" t="s">
        <v>1540</v>
      </c>
      <c r="O46" s="8" t="s">
        <v>1538</v>
      </c>
      <c r="P46" s="8">
        <v>42040.0</v>
      </c>
      <c r="Z46" s="8">
        <v>105163.0</v>
      </c>
      <c r="AA46" s="8">
        <v>102276.0</v>
      </c>
      <c r="AB46" s="8" t="s">
        <v>1459</v>
      </c>
      <c r="AC46" s="8" t="s">
        <v>1541</v>
      </c>
    </row>
    <row r="47">
      <c r="A47" s="8" t="s">
        <v>1251</v>
      </c>
      <c r="B47" s="8" t="s">
        <v>1254</v>
      </c>
      <c r="C47" s="8">
        <v>1.0</v>
      </c>
      <c r="D47" s="8">
        <v>1.0</v>
      </c>
      <c r="E47" s="8"/>
      <c r="F47" s="8"/>
      <c r="L47" s="54" t="s">
        <v>1151</v>
      </c>
      <c r="M47" s="8" t="s">
        <v>1452</v>
      </c>
      <c r="N47" s="8" t="s">
        <v>1542</v>
      </c>
      <c r="O47" s="8" t="s">
        <v>1543</v>
      </c>
      <c r="P47" s="8">
        <v>23040.0</v>
      </c>
      <c r="Z47" s="8">
        <v>41583.0</v>
      </c>
      <c r="AA47" s="8">
        <v>41583.0</v>
      </c>
      <c r="AB47" s="8" t="s">
        <v>668</v>
      </c>
      <c r="AC47" s="8" t="s">
        <v>1544</v>
      </c>
    </row>
    <row r="48">
      <c r="A48" s="8" t="s">
        <v>1251</v>
      </c>
      <c r="B48" s="8" t="s">
        <v>1256</v>
      </c>
      <c r="C48" s="8">
        <v>2.0</v>
      </c>
      <c r="D48" s="8">
        <v>1.0</v>
      </c>
      <c r="E48" s="8"/>
      <c r="F48" s="8"/>
      <c r="L48" s="54" t="s">
        <v>1151</v>
      </c>
      <c r="M48" s="8" t="s">
        <v>1452</v>
      </c>
      <c r="N48" s="8" t="s">
        <v>1545</v>
      </c>
      <c r="O48" s="8" t="s">
        <v>1543</v>
      </c>
      <c r="P48" s="8">
        <v>23680.0</v>
      </c>
      <c r="Z48" s="8">
        <v>42696.0</v>
      </c>
      <c r="AA48" s="8">
        <v>42696.0</v>
      </c>
      <c r="AB48" s="8" t="s">
        <v>668</v>
      </c>
      <c r="AC48" s="8" t="s">
        <v>1546</v>
      </c>
    </row>
    <row r="49">
      <c r="A49" s="8" t="s">
        <v>1251</v>
      </c>
      <c r="B49" s="8" t="s">
        <v>1257</v>
      </c>
      <c r="C49" s="8">
        <v>3.0</v>
      </c>
      <c r="D49" s="8">
        <v>1.0</v>
      </c>
      <c r="E49" s="8"/>
      <c r="F49" s="8"/>
      <c r="L49" s="54" t="s">
        <v>1151</v>
      </c>
      <c r="M49" s="8" t="s">
        <v>1452</v>
      </c>
      <c r="N49" s="8" t="s">
        <v>1547</v>
      </c>
      <c r="O49" s="8" t="s">
        <v>1543</v>
      </c>
      <c r="P49" s="8">
        <v>42300.0</v>
      </c>
      <c r="Z49" s="8">
        <v>76344.0</v>
      </c>
      <c r="AA49" s="8">
        <v>76344.0</v>
      </c>
      <c r="AB49" s="8" t="s">
        <v>668</v>
      </c>
      <c r="AC49" s="8" t="s">
        <v>1548</v>
      </c>
    </row>
    <row r="50">
      <c r="A50" s="8" t="s">
        <v>1258</v>
      </c>
      <c r="B50" s="8" t="s">
        <v>1262</v>
      </c>
      <c r="C50" s="8">
        <v>1.0</v>
      </c>
      <c r="D50" s="86"/>
      <c r="E50" s="8">
        <v>1.0</v>
      </c>
      <c r="F50" s="8"/>
      <c r="L50" s="54" t="s">
        <v>1151</v>
      </c>
      <c r="M50" s="8" t="s">
        <v>1452</v>
      </c>
      <c r="N50" s="8" t="s">
        <v>1549</v>
      </c>
      <c r="O50" s="8" t="s">
        <v>1454</v>
      </c>
      <c r="P50" s="8">
        <v>27540.0</v>
      </c>
      <c r="Z50" s="8">
        <v>49621.0</v>
      </c>
      <c r="AA50" s="8">
        <v>49621.0</v>
      </c>
      <c r="AB50" s="8" t="s">
        <v>668</v>
      </c>
      <c r="AC50" s="8" t="s">
        <v>1550</v>
      </c>
    </row>
    <row r="51">
      <c r="A51" s="8" t="s">
        <v>1258</v>
      </c>
      <c r="B51" s="8" t="s">
        <v>1264</v>
      </c>
      <c r="C51" s="8">
        <v>2.0</v>
      </c>
      <c r="D51" s="8">
        <v>1.0</v>
      </c>
      <c r="E51" s="8"/>
      <c r="F51" s="8"/>
      <c r="L51" s="54" t="s">
        <v>1151</v>
      </c>
      <c r="M51" s="8" t="s">
        <v>1452</v>
      </c>
      <c r="N51" s="8" t="s">
        <v>1551</v>
      </c>
      <c r="O51" s="8" t="s">
        <v>1454</v>
      </c>
      <c r="P51" s="8">
        <v>9460.0</v>
      </c>
      <c r="Z51" s="8">
        <v>17063.0</v>
      </c>
      <c r="AA51" s="8">
        <v>17063.0</v>
      </c>
      <c r="AB51" s="8" t="s">
        <v>668</v>
      </c>
      <c r="AC51" s="8" t="s">
        <v>1552</v>
      </c>
    </row>
    <row r="52">
      <c r="A52" s="8" t="s">
        <v>1258</v>
      </c>
      <c r="B52" s="8" t="s">
        <v>1265</v>
      </c>
      <c r="C52" s="8">
        <v>3.0</v>
      </c>
      <c r="D52" s="86"/>
      <c r="E52" s="8">
        <v>1.0</v>
      </c>
      <c r="F52" s="8"/>
      <c r="L52" s="54" t="s">
        <v>1151</v>
      </c>
      <c r="M52" s="8" t="s">
        <v>1452</v>
      </c>
      <c r="N52" s="8" t="s">
        <v>1553</v>
      </c>
      <c r="O52" s="8" t="s">
        <v>1454</v>
      </c>
      <c r="P52" s="8">
        <v>8166.0</v>
      </c>
      <c r="Z52" s="8">
        <v>34332.0</v>
      </c>
      <c r="AA52" s="8">
        <v>34332.0</v>
      </c>
      <c r="AB52" s="8" t="s">
        <v>668</v>
      </c>
      <c r="AC52" s="8" t="s">
        <v>1554</v>
      </c>
    </row>
    <row r="53">
      <c r="A53" s="77" t="s">
        <v>1258</v>
      </c>
      <c r="B53" s="77" t="s">
        <v>1266</v>
      </c>
      <c r="C53" s="77">
        <v>4.0</v>
      </c>
      <c r="D53" s="77">
        <v>0.2732</v>
      </c>
      <c r="E53" s="77">
        <v>0.7263</v>
      </c>
      <c r="F53" s="77">
        <v>0.0</v>
      </c>
      <c r="G53" s="77">
        <v>0.0</v>
      </c>
      <c r="H53" s="77">
        <v>0.0</v>
      </c>
      <c r="I53" s="77">
        <v>6.0E-4</v>
      </c>
      <c r="J53" s="77">
        <v>0.0</v>
      </c>
      <c r="K53" s="77">
        <v>0.0</v>
      </c>
      <c r="L53" s="54" t="s">
        <v>1151</v>
      </c>
      <c r="M53" s="81" t="s">
        <v>1448</v>
      </c>
      <c r="N53" s="77" t="s">
        <v>1555</v>
      </c>
      <c r="O53" s="77" t="s">
        <v>1473</v>
      </c>
      <c r="P53" s="77">
        <v>10437.0</v>
      </c>
      <c r="Q53" s="80"/>
      <c r="R53" s="80"/>
      <c r="S53" s="80"/>
      <c r="T53" s="80"/>
      <c r="U53" s="80"/>
      <c r="V53" s="80"/>
      <c r="W53" s="80"/>
      <c r="X53" s="80"/>
      <c r="Y53" s="80"/>
      <c r="Z53" s="77">
        <v>27056.0</v>
      </c>
      <c r="AA53" s="77">
        <v>27056.0</v>
      </c>
      <c r="AB53" s="77" t="s">
        <v>668</v>
      </c>
      <c r="AC53" s="77" t="s">
        <v>1556</v>
      </c>
    </row>
    <row r="54">
      <c r="A54" s="8" t="s">
        <v>1267</v>
      </c>
      <c r="B54" s="8" t="s">
        <v>1270</v>
      </c>
      <c r="C54" s="8">
        <v>1.0</v>
      </c>
      <c r="D54" s="86"/>
      <c r="E54" s="8">
        <v>1.0</v>
      </c>
      <c r="F54" s="8"/>
      <c r="L54" s="54" t="s">
        <v>1151</v>
      </c>
      <c r="M54" s="8" t="s">
        <v>1452</v>
      </c>
      <c r="N54" s="8" t="s">
        <v>1557</v>
      </c>
      <c r="O54" s="8" t="s">
        <v>1454</v>
      </c>
      <c r="Z54" s="8">
        <v>125306.0</v>
      </c>
      <c r="AA54" s="8">
        <v>125306.0</v>
      </c>
      <c r="AB54" s="8" t="s">
        <v>668</v>
      </c>
      <c r="AC54" s="8" t="s">
        <v>1558</v>
      </c>
    </row>
    <row r="55">
      <c r="A55" s="8" t="s">
        <v>1267</v>
      </c>
      <c r="B55" s="8" t="s">
        <v>1272</v>
      </c>
      <c r="C55" s="8">
        <v>2.0</v>
      </c>
      <c r="D55" s="86"/>
      <c r="E55" s="8">
        <v>1.0</v>
      </c>
      <c r="F55" s="8"/>
      <c r="L55" s="54" t="s">
        <v>1151</v>
      </c>
      <c r="M55" s="8" t="s">
        <v>1452</v>
      </c>
      <c r="N55" s="8" t="s">
        <v>1559</v>
      </c>
      <c r="O55" s="8" t="s">
        <v>1454</v>
      </c>
      <c r="Z55" s="8">
        <v>72682.0</v>
      </c>
      <c r="AA55" s="8">
        <v>72682.0</v>
      </c>
      <c r="AB55" s="8" t="s">
        <v>668</v>
      </c>
      <c r="AC55" s="8" t="s">
        <v>1560</v>
      </c>
    </row>
    <row r="56">
      <c r="A56" s="21" t="s">
        <v>1273</v>
      </c>
      <c r="B56" s="21" t="s">
        <v>1276</v>
      </c>
      <c r="C56" s="21">
        <v>1.0</v>
      </c>
      <c r="D56" s="21"/>
      <c r="E56" s="21"/>
      <c r="F56" s="21"/>
      <c r="G56" s="83"/>
      <c r="H56" s="21"/>
      <c r="I56" s="21"/>
      <c r="J56" s="83"/>
      <c r="K56" s="83"/>
      <c r="L56" s="54" t="s">
        <v>668</v>
      </c>
      <c r="M56" s="21" t="s">
        <v>1471</v>
      </c>
      <c r="N56" s="21" t="s">
        <v>1561</v>
      </c>
      <c r="O56" s="21" t="s">
        <v>1473</v>
      </c>
      <c r="P56" s="21">
        <v>12519.0</v>
      </c>
      <c r="Q56" s="83"/>
      <c r="R56" s="83"/>
      <c r="S56" s="83"/>
      <c r="T56" s="83"/>
      <c r="U56" s="83"/>
      <c r="V56" s="83"/>
      <c r="W56" s="83"/>
      <c r="X56" s="83"/>
      <c r="Y56" s="83"/>
      <c r="Z56" s="21">
        <v>46215.0</v>
      </c>
      <c r="AA56" s="21">
        <v>46215.0</v>
      </c>
      <c r="AB56" s="21" t="s">
        <v>668</v>
      </c>
      <c r="AC56" s="21" t="s">
        <v>1562</v>
      </c>
    </row>
    <row r="57">
      <c r="A57" s="8" t="s">
        <v>1278</v>
      </c>
      <c r="B57" s="8" t="s">
        <v>1281</v>
      </c>
      <c r="C57" s="8">
        <v>1.0</v>
      </c>
      <c r="D57" s="8">
        <v>0.02956</v>
      </c>
      <c r="E57" s="8">
        <v>0.97044</v>
      </c>
      <c r="F57" s="8"/>
      <c r="L57" s="54" t="s">
        <v>1151</v>
      </c>
      <c r="M57" s="8" t="s">
        <v>1563</v>
      </c>
      <c r="N57" s="8" t="s">
        <v>1564</v>
      </c>
      <c r="O57" s="8" t="s">
        <v>1454</v>
      </c>
      <c r="P57" s="8">
        <v>12920.0</v>
      </c>
      <c r="Z57" s="8">
        <v>52500.0</v>
      </c>
      <c r="AA57" s="8">
        <v>52500.0</v>
      </c>
      <c r="AB57" s="8" t="s">
        <v>668</v>
      </c>
      <c r="AC57" s="8" t="s">
        <v>1565</v>
      </c>
    </row>
    <row r="58">
      <c r="A58" s="8" t="s">
        <v>1283</v>
      </c>
      <c r="B58" s="8" t="s">
        <v>1286</v>
      </c>
      <c r="C58" s="8">
        <v>1.0</v>
      </c>
      <c r="D58" s="86"/>
      <c r="E58" s="8">
        <v>1.0</v>
      </c>
      <c r="F58" s="8"/>
      <c r="L58" s="54" t="s">
        <v>1151</v>
      </c>
      <c r="M58" s="8" t="s">
        <v>1452</v>
      </c>
      <c r="N58" s="8" t="s">
        <v>1566</v>
      </c>
      <c r="O58" s="8" t="s">
        <v>1454</v>
      </c>
      <c r="P58" s="8">
        <v>15280.0</v>
      </c>
      <c r="Z58" s="8">
        <v>65501.0</v>
      </c>
      <c r="AA58" s="8">
        <v>40501.0</v>
      </c>
      <c r="AB58" s="8" t="s">
        <v>668</v>
      </c>
      <c r="AC58" s="8" t="s">
        <v>1567</v>
      </c>
    </row>
    <row r="59">
      <c r="A59" s="8" t="s">
        <v>1283</v>
      </c>
      <c r="B59" s="8" t="s">
        <v>1288</v>
      </c>
      <c r="C59" s="8">
        <v>1.0</v>
      </c>
      <c r="D59" s="86"/>
      <c r="E59" s="8">
        <v>1.0</v>
      </c>
      <c r="F59" s="8"/>
      <c r="L59" s="54" t="s">
        <v>1151</v>
      </c>
      <c r="M59" s="8" t="s">
        <v>1452</v>
      </c>
      <c r="N59" s="8" t="s">
        <v>1566</v>
      </c>
      <c r="O59" s="8" t="s">
        <v>1454</v>
      </c>
      <c r="P59" s="8">
        <v>15280.0</v>
      </c>
      <c r="Z59" s="8">
        <v>65501.0</v>
      </c>
      <c r="AA59" s="8">
        <v>25000.0</v>
      </c>
      <c r="AB59" s="8" t="s">
        <v>668</v>
      </c>
      <c r="AC59" s="8" t="s">
        <v>1568</v>
      </c>
    </row>
    <row r="60">
      <c r="A60" s="8" t="s">
        <v>1283</v>
      </c>
      <c r="B60" s="8" t="s">
        <v>1289</v>
      </c>
      <c r="C60" s="8">
        <v>2.0</v>
      </c>
      <c r="D60" s="86"/>
      <c r="E60" s="8">
        <v>1.0</v>
      </c>
      <c r="F60" s="8"/>
      <c r="L60" s="54" t="s">
        <v>1151</v>
      </c>
      <c r="M60" s="8" t="s">
        <v>1452</v>
      </c>
      <c r="N60" s="8" t="s">
        <v>1569</v>
      </c>
      <c r="O60" s="8" t="s">
        <v>1454</v>
      </c>
      <c r="P60" s="8">
        <v>20560.0</v>
      </c>
      <c r="Z60" s="8">
        <v>88955.0</v>
      </c>
      <c r="AA60" s="8">
        <v>88955.0</v>
      </c>
      <c r="AB60" s="8" t="s">
        <v>668</v>
      </c>
      <c r="AC60" s="8" t="s">
        <v>1570</v>
      </c>
    </row>
    <row r="61">
      <c r="A61" s="8" t="s">
        <v>1283</v>
      </c>
      <c r="B61" s="8" t="s">
        <v>1290</v>
      </c>
      <c r="C61" s="8">
        <v>3.0</v>
      </c>
      <c r="L61" s="54" t="s">
        <v>668</v>
      </c>
      <c r="M61" s="8" t="s">
        <v>1471</v>
      </c>
      <c r="N61" s="8" t="s">
        <v>1571</v>
      </c>
      <c r="O61" s="8" t="s">
        <v>1473</v>
      </c>
      <c r="P61" s="8">
        <v>31340.0</v>
      </c>
      <c r="Z61" s="8">
        <v>81758.0</v>
      </c>
      <c r="AA61" s="8">
        <v>81758.0</v>
      </c>
      <c r="AB61" s="8" t="s">
        <v>668</v>
      </c>
      <c r="AC61" s="8" t="s">
        <v>1572</v>
      </c>
    </row>
    <row r="62">
      <c r="A62" s="8" t="s">
        <v>1283</v>
      </c>
      <c r="B62" s="8" t="s">
        <v>1291</v>
      </c>
      <c r="C62" s="8">
        <v>4.0</v>
      </c>
      <c r="D62" s="86"/>
      <c r="E62" s="8">
        <v>1.0</v>
      </c>
      <c r="F62" s="8"/>
      <c r="L62" s="54" t="s">
        <v>1151</v>
      </c>
      <c r="M62" s="8" t="s">
        <v>1452</v>
      </c>
      <c r="N62" s="8" t="s">
        <v>1573</v>
      </c>
      <c r="O62" s="8" t="s">
        <v>1454</v>
      </c>
      <c r="P62" s="8">
        <v>14620.0</v>
      </c>
      <c r="Z62" s="8">
        <v>26314.0</v>
      </c>
      <c r="AA62" s="8">
        <v>26314.0</v>
      </c>
      <c r="AB62" s="8" t="s">
        <v>668</v>
      </c>
      <c r="AC62" s="8" t="s">
        <v>1574</v>
      </c>
    </row>
    <row r="63">
      <c r="A63" s="8" t="s">
        <v>1283</v>
      </c>
      <c r="B63" s="8" t="s">
        <v>1292</v>
      </c>
      <c r="C63" s="8">
        <v>5.0</v>
      </c>
      <c r="D63" s="86"/>
      <c r="E63" s="8">
        <v>1.0</v>
      </c>
      <c r="F63" s="8"/>
      <c r="L63" s="54" t="s">
        <v>1151</v>
      </c>
      <c r="M63" s="8" t="s">
        <v>1452</v>
      </c>
      <c r="N63" s="8" t="s">
        <v>1575</v>
      </c>
      <c r="O63" s="8" t="s">
        <v>1454</v>
      </c>
      <c r="P63" s="8">
        <v>24560.0</v>
      </c>
      <c r="Z63" s="8">
        <v>106193.0</v>
      </c>
      <c r="AA63" s="8">
        <v>106193.0</v>
      </c>
      <c r="AB63" s="8" t="s">
        <v>668</v>
      </c>
      <c r="AC63" s="8" t="s">
        <v>1576</v>
      </c>
    </row>
    <row r="64">
      <c r="A64" s="8" t="s">
        <v>1283</v>
      </c>
      <c r="B64" s="8" t="s">
        <v>1293</v>
      </c>
      <c r="C64" s="8">
        <v>6.0</v>
      </c>
      <c r="L64" s="54" t="s">
        <v>668</v>
      </c>
      <c r="M64" s="8" t="s">
        <v>1471</v>
      </c>
      <c r="N64" s="8" t="s">
        <v>1577</v>
      </c>
      <c r="O64" s="8" t="s">
        <v>1473</v>
      </c>
      <c r="P64" s="8">
        <v>15900.0</v>
      </c>
      <c r="Z64" s="8">
        <v>61032.0</v>
      </c>
      <c r="AA64" s="8">
        <v>61032.0</v>
      </c>
      <c r="AB64" s="8" t="s">
        <v>668</v>
      </c>
      <c r="AC64" s="8" t="s">
        <v>1578</v>
      </c>
    </row>
    <row r="65">
      <c r="A65" s="8" t="s">
        <v>1283</v>
      </c>
      <c r="B65" s="8" t="s">
        <v>1294</v>
      </c>
      <c r="C65" s="8">
        <v>7.0</v>
      </c>
      <c r="D65" s="86"/>
      <c r="E65" s="8">
        <v>1.0</v>
      </c>
      <c r="F65" s="8"/>
      <c r="L65" s="54" t="s">
        <v>1151</v>
      </c>
      <c r="M65" s="8" t="s">
        <v>1452</v>
      </c>
      <c r="N65" s="8" t="s">
        <v>1579</v>
      </c>
      <c r="O65" s="8" t="s">
        <v>1454</v>
      </c>
      <c r="P65" s="8">
        <v>15260.0</v>
      </c>
      <c r="Z65" s="8">
        <v>66063.0</v>
      </c>
      <c r="AA65" s="8">
        <v>66063.0</v>
      </c>
      <c r="AB65" s="8" t="s">
        <v>668</v>
      </c>
      <c r="AC65" s="8" t="s">
        <v>1580</v>
      </c>
    </row>
    <row r="66">
      <c r="A66" s="8" t="s">
        <v>1283</v>
      </c>
      <c r="B66" s="8" t="s">
        <v>1295</v>
      </c>
      <c r="C66" s="8">
        <v>8.0</v>
      </c>
      <c r="D66" s="86"/>
      <c r="E66" s="8">
        <v>1.0</v>
      </c>
      <c r="F66" s="8"/>
      <c r="L66" s="54" t="s">
        <v>1151</v>
      </c>
      <c r="M66" s="8" t="s">
        <v>1452</v>
      </c>
      <c r="N66" s="8" t="s">
        <v>1581</v>
      </c>
      <c r="O66" s="8" t="s">
        <v>1454</v>
      </c>
      <c r="P66" s="8">
        <v>23320.0</v>
      </c>
      <c r="Z66" s="8">
        <v>100836.0</v>
      </c>
      <c r="AA66" s="8">
        <v>100836.0</v>
      </c>
      <c r="AB66" s="8" t="s">
        <v>668</v>
      </c>
      <c r="AC66" s="8" t="s">
        <v>1582</v>
      </c>
    </row>
    <row r="67">
      <c r="A67" s="8" t="s">
        <v>1283</v>
      </c>
      <c r="B67" s="8" t="s">
        <v>1296</v>
      </c>
      <c r="C67" s="8">
        <v>9.0</v>
      </c>
      <c r="D67" s="86"/>
      <c r="E67" s="8">
        <v>1.0</v>
      </c>
      <c r="F67" s="8"/>
      <c r="L67" s="54" t="s">
        <v>1151</v>
      </c>
      <c r="M67" s="8" t="s">
        <v>1452</v>
      </c>
      <c r="N67" s="8" t="s">
        <v>1583</v>
      </c>
      <c r="O67" s="8" t="s">
        <v>1454</v>
      </c>
      <c r="P67" s="8">
        <v>31360.0</v>
      </c>
      <c r="Z67" s="8">
        <v>129503.0</v>
      </c>
      <c r="AA67" s="8">
        <v>129503.0</v>
      </c>
      <c r="AB67" s="8" t="s">
        <v>668</v>
      </c>
      <c r="AC67" s="8" t="s">
        <v>1584</v>
      </c>
    </row>
    <row r="68">
      <c r="A68" s="8" t="s">
        <v>1283</v>
      </c>
      <c r="B68" s="8" t="s">
        <v>1297</v>
      </c>
      <c r="C68" s="8">
        <v>10.0</v>
      </c>
      <c r="D68" s="8">
        <v>1.0</v>
      </c>
      <c r="E68" s="8"/>
      <c r="F68" s="8"/>
      <c r="L68" s="54" t="s">
        <v>1151</v>
      </c>
      <c r="M68" s="8" t="s">
        <v>1452</v>
      </c>
      <c r="N68" s="8" t="s">
        <v>1585</v>
      </c>
      <c r="O68" s="8" t="s">
        <v>1454</v>
      </c>
      <c r="P68" s="8">
        <v>15260.0</v>
      </c>
      <c r="Z68" s="8">
        <v>27070.0</v>
      </c>
      <c r="AA68" s="8">
        <v>27070.0</v>
      </c>
      <c r="AB68" s="8" t="s">
        <v>668</v>
      </c>
      <c r="AC68" s="8" t="s">
        <v>1586</v>
      </c>
    </row>
    <row r="69">
      <c r="A69" s="8" t="s">
        <v>1283</v>
      </c>
      <c r="B69" s="8" t="s">
        <v>1298</v>
      </c>
      <c r="C69" s="8">
        <v>11.0</v>
      </c>
      <c r="D69" s="86"/>
      <c r="E69" s="8">
        <v>1.0</v>
      </c>
      <c r="F69" s="8"/>
      <c r="L69" s="54" t="s">
        <v>1151</v>
      </c>
      <c r="M69" s="8" t="s">
        <v>1452</v>
      </c>
      <c r="N69" s="8" t="s">
        <v>1587</v>
      </c>
      <c r="O69" s="8" t="s">
        <v>1454</v>
      </c>
      <c r="P69" s="8">
        <v>22820.0</v>
      </c>
      <c r="Z69" s="8">
        <v>98685.0</v>
      </c>
      <c r="AA69" s="8">
        <v>98685.0</v>
      </c>
      <c r="AB69" s="8" t="s">
        <v>668</v>
      </c>
      <c r="AC69" s="8" t="s">
        <v>1588</v>
      </c>
    </row>
    <row r="70">
      <c r="A70" s="8" t="s">
        <v>1283</v>
      </c>
      <c r="B70" s="8" t="s">
        <v>1299</v>
      </c>
      <c r="C70" s="8">
        <v>12.0</v>
      </c>
      <c r="D70" s="8">
        <v>1.0</v>
      </c>
      <c r="E70" s="8"/>
      <c r="F70" s="8"/>
      <c r="L70" s="54" t="s">
        <v>1151</v>
      </c>
      <c r="M70" s="8" t="s">
        <v>1452</v>
      </c>
      <c r="N70" s="8" t="s">
        <v>1589</v>
      </c>
      <c r="O70" s="8" t="s">
        <v>1454</v>
      </c>
      <c r="P70" s="8">
        <v>27000.0</v>
      </c>
      <c r="Z70" s="8">
        <v>50755.0</v>
      </c>
      <c r="AA70" s="8">
        <v>50755.0</v>
      </c>
      <c r="AB70" s="8" t="s">
        <v>668</v>
      </c>
      <c r="AC70" s="8" t="s">
        <v>1590</v>
      </c>
    </row>
    <row r="71">
      <c r="A71" s="8" t="s">
        <v>1300</v>
      </c>
      <c r="B71" s="8" t="s">
        <v>1303</v>
      </c>
      <c r="C71" s="8">
        <v>1.0</v>
      </c>
      <c r="L71" s="54" t="s">
        <v>668</v>
      </c>
      <c r="M71" s="8" t="s">
        <v>1471</v>
      </c>
      <c r="N71" s="8" t="s">
        <v>1591</v>
      </c>
      <c r="O71" s="8" t="s">
        <v>1473</v>
      </c>
      <c r="P71" s="8">
        <v>32340.0</v>
      </c>
      <c r="Z71" s="8">
        <v>95546.0</v>
      </c>
      <c r="AA71" s="8">
        <v>93638.0</v>
      </c>
      <c r="AB71" s="8" t="s">
        <v>1459</v>
      </c>
      <c r="AC71" s="8" t="s">
        <v>1592</v>
      </c>
    </row>
    <row r="72">
      <c r="A72" s="8" t="s">
        <v>1300</v>
      </c>
      <c r="B72" s="8" t="s">
        <v>1305</v>
      </c>
      <c r="C72" s="8">
        <v>2.0</v>
      </c>
      <c r="L72" s="54" t="s">
        <v>668</v>
      </c>
      <c r="M72" s="8" t="s">
        <v>1471</v>
      </c>
      <c r="N72" s="8" t="s">
        <v>1593</v>
      </c>
      <c r="O72" s="8" t="s">
        <v>1473</v>
      </c>
      <c r="P72" s="8">
        <v>28520.0</v>
      </c>
      <c r="Z72" s="8">
        <v>114836.0</v>
      </c>
      <c r="AA72" s="8">
        <v>114836.0</v>
      </c>
      <c r="AB72" s="8" t="s">
        <v>668</v>
      </c>
      <c r="AC72" s="8" t="s">
        <v>1594</v>
      </c>
    </row>
    <row r="73">
      <c r="A73" s="8" t="s">
        <v>1300</v>
      </c>
      <c r="B73" s="8" t="s">
        <v>1306</v>
      </c>
      <c r="C73" s="8">
        <v>3.0</v>
      </c>
      <c r="D73" s="87">
        <v>4.0E-5</v>
      </c>
      <c r="E73" s="8">
        <v>0.99978</v>
      </c>
      <c r="F73" s="8"/>
      <c r="H73" s="8">
        <v>1.5E-4</v>
      </c>
      <c r="I73" s="87">
        <v>3.0E-5</v>
      </c>
      <c r="L73" s="54" t="s">
        <v>1151</v>
      </c>
      <c r="M73" s="8" t="s">
        <v>1448</v>
      </c>
      <c r="N73" s="8" t="s">
        <v>1595</v>
      </c>
      <c r="O73" s="8" t="s">
        <v>1450</v>
      </c>
      <c r="R73" s="8">
        <v>0.01</v>
      </c>
      <c r="S73" s="8">
        <v>99.72</v>
      </c>
      <c r="V73" s="8">
        <v>0.02</v>
      </c>
      <c r="W73" s="8">
        <v>0.01</v>
      </c>
      <c r="Z73" s="8">
        <v>142199.0</v>
      </c>
      <c r="AA73" s="8">
        <v>142199.0</v>
      </c>
      <c r="AB73" s="8" t="s">
        <v>668</v>
      </c>
      <c r="AC73" s="8" t="s">
        <v>1596</v>
      </c>
    </row>
    <row r="74">
      <c r="A74" s="8" t="s">
        <v>1307</v>
      </c>
      <c r="B74" s="8" t="s">
        <v>1310</v>
      </c>
      <c r="C74" s="8">
        <v>1.0</v>
      </c>
      <c r="D74" s="86"/>
      <c r="E74" s="8">
        <v>0.99682</v>
      </c>
      <c r="F74" s="8"/>
      <c r="I74" s="8">
        <v>0.00318</v>
      </c>
      <c r="L74" s="54" t="s">
        <v>1151</v>
      </c>
      <c r="M74" s="8" t="s">
        <v>1499</v>
      </c>
      <c r="N74" s="8" t="s">
        <v>1597</v>
      </c>
      <c r="O74" s="8" t="s">
        <v>1538</v>
      </c>
      <c r="P74" s="8">
        <v>42645.0</v>
      </c>
      <c r="Z74" s="8">
        <v>163884.0</v>
      </c>
      <c r="AA74" s="8">
        <v>163884.0</v>
      </c>
      <c r="AB74" s="8" t="s">
        <v>668</v>
      </c>
      <c r="AC74" s="8" t="s">
        <v>1598</v>
      </c>
    </row>
    <row r="75">
      <c r="A75" s="8" t="s">
        <v>1312</v>
      </c>
      <c r="B75" s="8" t="s">
        <v>1315</v>
      </c>
      <c r="C75" s="8">
        <v>1.0</v>
      </c>
      <c r="D75" s="8">
        <v>1.4E-4</v>
      </c>
      <c r="E75" s="8">
        <v>0.99974</v>
      </c>
      <c r="F75" s="8"/>
      <c r="H75" s="8">
        <v>1.2E-4</v>
      </c>
      <c r="L75" s="54" t="s">
        <v>1151</v>
      </c>
      <c r="M75" s="8" t="s">
        <v>1499</v>
      </c>
      <c r="N75" s="8" t="s">
        <v>1599</v>
      </c>
      <c r="O75" s="8" t="s">
        <v>1538</v>
      </c>
      <c r="P75" s="8">
        <v>54040.0</v>
      </c>
      <c r="Z75" s="8">
        <v>234374.0</v>
      </c>
      <c r="AA75" s="8">
        <v>232039.0</v>
      </c>
      <c r="AB75" s="8" t="s">
        <v>1459</v>
      </c>
      <c r="AC75" s="8" t="s">
        <v>1600</v>
      </c>
    </row>
    <row r="76">
      <c r="A76" s="8" t="s">
        <v>1312</v>
      </c>
      <c r="B76" s="8" t="s">
        <v>1318</v>
      </c>
      <c r="C76" s="8">
        <v>2.0</v>
      </c>
      <c r="D76" s="8">
        <v>1.2E-4</v>
      </c>
      <c r="E76" s="8">
        <v>0.99973</v>
      </c>
      <c r="F76" s="8"/>
      <c r="H76" s="8">
        <v>1.5E-4</v>
      </c>
      <c r="L76" s="54" t="s">
        <v>1151</v>
      </c>
      <c r="M76" s="8" t="s">
        <v>1448</v>
      </c>
      <c r="N76" s="8" t="s">
        <v>1601</v>
      </c>
      <c r="O76" s="8" t="s">
        <v>1450</v>
      </c>
      <c r="P76" s="8">
        <v>22580.0</v>
      </c>
      <c r="R76" s="8">
        <v>0.03</v>
      </c>
      <c r="S76" s="8">
        <v>99.85</v>
      </c>
      <c r="V76" s="8">
        <v>0.02</v>
      </c>
      <c r="Z76" s="8">
        <v>97962.0</v>
      </c>
      <c r="AA76" s="8">
        <v>96833.0</v>
      </c>
      <c r="AB76" s="8" t="s">
        <v>1459</v>
      </c>
      <c r="AC76" s="8" t="s">
        <v>1602</v>
      </c>
    </row>
    <row r="77">
      <c r="A77" s="8" t="s">
        <v>1319</v>
      </c>
      <c r="B77" s="8" t="s">
        <v>1322</v>
      </c>
      <c r="C77" s="8">
        <v>1.0</v>
      </c>
      <c r="D77" s="8">
        <v>0.46809</v>
      </c>
      <c r="E77" s="8">
        <v>0.467</v>
      </c>
      <c r="F77" s="8"/>
      <c r="H77" s="8">
        <v>0.03837</v>
      </c>
      <c r="I77" s="8">
        <v>0.02654</v>
      </c>
      <c r="L77" s="54" t="s">
        <v>1151</v>
      </c>
      <c r="M77" s="8" t="s">
        <v>1499</v>
      </c>
      <c r="N77" s="8" t="s">
        <v>1603</v>
      </c>
      <c r="O77" s="8" t="s">
        <v>1538</v>
      </c>
      <c r="P77" s="8">
        <v>30940.0</v>
      </c>
      <c r="Z77" s="8">
        <v>73584.0</v>
      </c>
      <c r="AA77" s="8">
        <v>72653.0</v>
      </c>
      <c r="AB77" s="8" t="s">
        <v>1459</v>
      </c>
      <c r="AC77" s="8" t="s">
        <v>1604</v>
      </c>
    </row>
    <row r="78">
      <c r="A78" s="8" t="s">
        <v>1324</v>
      </c>
      <c r="B78" s="8" t="s">
        <v>1330</v>
      </c>
      <c r="C78" s="8">
        <v>1.0</v>
      </c>
      <c r="D78" s="8">
        <v>1.0</v>
      </c>
      <c r="E78" s="8"/>
      <c r="F78" s="8"/>
      <c r="L78" s="54" t="s">
        <v>1151</v>
      </c>
      <c r="M78" s="8" t="s">
        <v>1452</v>
      </c>
      <c r="N78" s="8" t="s">
        <v>1605</v>
      </c>
      <c r="O78" s="8" t="s">
        <v>1606</v>
      </c>
      <c r="P78" s="8">
        <v>30950.0</v>
      </c>
      <c r="Z78" s="8">
        <v>54497.0</v>
      </c>
      <c r="AA78" s="8">
        <v>54497.0</v>
      </c>
      <c r="AB78" s="8" t="s">
        <v>668</v>
      </c>
      <c r="AC78" s="8" t="s">
        <v>1607</v>
      </c>
    </row>
    <row r="79">
      <c r="A79" s="8" t="s">
        <v>1324</v>
      </c>
      <c r="B79" s="8" t="s">
        <v>1327</v>
      </c>
      <c r="C79" s="8">
        <v>2.0</v>
      </c>
      <c r="D79" s="8">
        <v>1.0</v>
      </c>
      <c r="E79" s="8"/>
      <c r="F79" s="8"/>
      <c r="L79" s="54" t="s">
        <v>1151</v>
      </c>
      <c r="M79" s="8" t="s">
        <v>1452</v>
      </c>
      <c r="N79" s="8" t="s">
        <v>1608</v>
      </c>
      <c r="O79" s="8" t="s">
        <v>1606</v>
      </c>
      <c r="P79" s="8">
        <v>65581.0</v>
      </c>
      <c r="Z79" s="8">
        <v>117496.0</v>
      </c>
      <c r="AA79" s="8">
        <v>117496.0</v>
      </c>
      <c r="AB79" s="8" t="s">
        <v>668</v>
      </c>
      <c r="AC79" s="8" t="s">
        <v>1609</v>
      </c>
    </row>
    <row r="80">
      <c r="A80" s="77" t="s">
        <v>1331</v>
      </c>
      <c r="B80" s="77" t="s">
        <v>1334</v>
      </c>
      <c r="C80" s="77">
        <v>1.0</v>
      </c>
      <c r="D80" s="77">
        <v>0.15856</v>
      </c>
      <c r="E80" s="77">
        <v>0.8394</v>
      </c>
      <c r="F80" s="77"/>
      <c r="G80" s="80"/>
      <c r="H80" s="77">
        <v>1.4E-4</v>
      </c>
      <c r="I80" s="77">
        <v>0.0019</v>
      </c>
      <c r="J80" s="80"/>
      <c r="K80" s="80"/>
      <c r="L80" s="54" t="s">
        <v>1151</v>
      </c>
      <c r="M80" s="77" t="s">
        <v>1499</v>
      </c>
      <c r="N80" s="77" t="s">
        <v>1610</v>
      </c>
      <c r="O80" s="77" t="s">
        <v>1538</v>
      </c>
      <c r="P80" s="77">
        <v>14000.0</v>
      </c>
      <c r="Q80" s="80"/>
      <c r="R80" s="80"/>
      <c r="S80" s="80"/>
      <c r="T80" s="80"/>
      <c r="U80" s="80"/>
      <c r="V80" s="80"/>
      <c r="W80" s="80"/>
      <c r="X80" s="80"/>
      <c r="Y80" s="80"/>
      <c r="Z80" s="77">
        <v>46511.0</v>
      </c>
      <c r="AA80" s="81">
        <v>45156.0</v>
      </c>
      <c r="AB80" s="77" t="s">
        <v>1459</v>
      </c>
      <c r="AC80" s="77" t="s">
        <v>1611</v>
      </c>
    </row>
    <row r="81">
      <c r="A81" s="8" t="s">
        <v>1336</v>
      </c>
      <c r="B81" s="8" t="s">
        <v>1339</v>
      </c>
      <c r="C81" s="8">
        <v>1.0</v>
      </c>
      <c r="L81" s="54" t="s">
        <v>668</v>
      </c>
      <c r="M81" s="8" t="s">
        <v>1471</v>
      </c>
      <c r="N81" s="8" t="s">
        <v>1612</v>
      </c>
      <c r="O81" s="8" t="s">
        <v>1473</v>
      </c>
      <c r="P81" s="8">
        <v>66398.0</v>
      </c>
      <c r="Z81" s="8">
        <v>120267.0</v>
      </c>
      <c r="AA81" s="8">
        <v>120267.0</v>
      </c>
      <c r="AB81" s="8" t="s">
        <v>668</v>
      </c>
      <c r="AC81" s="8" t="s">
        <v>1613</v>
      </c>
    </row>
    <row r="82">
      <c r="A82" s="8" t="s">
        <v>1336</v>
      </c>
      <c r="B82" s="8" t="s">
        <v>1341</v>
      </c>
      <c r="C82" s="8">
        <v>2.0</v>
      </c>
      <c r="L82" s="54" t="s">
        <v>668</v>
      </c>
      <c r="M82" s="8" t="s">
        <v>1471</v>
      </c>
      <c r="N82" s="8" t="s">
        <v>1614</v>
      </c>
      <c r="O82" s="8" t="s">
        <v>1473</v>
      </c>
      <c r="P82" s="8">
        <v>15532.0</v>
      </c>
      <c r="Z82" s="8">
        <v>36615.0</v>
      </c>
      <c r="AA82" s="8">
        <v>36615.0</v>
      </c>
      <c r="AB82" s="8" t="s">
        <v>668</v>
      </c>
      <c r="AC82" s="8" t="s">
        <v>1615</v>
      </c>
    </row>
    <row r="83">
      <c r="A83" s="8" t="s">
        <v>1342</v>
      </c>
      <c r="B83" s="8" t="s">
        <v>1345</v>
      </c>
      <c r="C83" s="8">
        <v>1.0</v>
      </c>
      <c r="D83" s="86"/>
      <c r="E83" s="8">
        <v>1.0</v>
      </c>
      <c r="F83" s="8"/>
      <c r="L83" s="54" t="s">
        <v>1151</v>
      </c>
      <c r="M83" s="8" t="s">
        <v>1448</v>
      </c>
      <c r="N83" s="8" t="s">
        <v>1616</v>
      </c>
      <c r="O83" s="8" t="s">
        <v>1450</v>
      </c>
      <c r="P83" s="8">
        <v>18860.0</v>
      </c>
      <c r="S83" s="8">
        <v>99.93</v>
      </c>
      <c r="Z83" s="8">
        <v>80612.0</v>
      </c>
      <c r="AA83" s="8">
        <v>80612.0</v>
      </c>
      <c r="AB83" s="8" t="s">
        <v>668</v>
      </c>
      <c r="AC83" s="8" t="s">
        <v>1617</v>
      </c>
    </row>
    <row r="84">
      <c r="A84" s="77" t="s">
        <v>1347</v>
      </c>
      <c r="B84" s="77" t="s">
        <v>1352</v>
      </c>
      <c r="C84" s="77" t="s">
        <v>1618</v>
      </c>
      <c r="D84" s="78"/>
      <c r="E84" s="77">
        <v>1.0</v>
      </c>
      <c r="F84" s="77"/>
      <c r="G84" s="80"/>
      <c r="H84" s="80"/>
      <c r="I84" s="80"/>
      <c r="J84" s="80"/>
      <c r="K84" s="80"/>
      <c r="L84" s="54" t="s">
        <v>1151</v>
      </c>
      <c r="M84" s="77" t="s">
        <v>1452</v>
      </c>
      <c r="N84" s="77" t="s">
        <v>1619</v>
      </c>
      <c r="O84" s="77" t="s">
        <v>1454</v>
      </c>
      <c r="P84" s="77">
        <v>30100.0</v>
      </c>
      <c r="Q84" s="80"/>
      <c r="R84" s="80"/>
      <c r="S84" s="80"/>
      <c r="T84" s="80"/>
      <c r="U84" s="80"/>
      <c r="V84" s="80"/>
      <c r="W84" s="80"/>
      <c r="X84" s="80"/>
      <c r="Y84" s="80"/>
      <c r="Z84" s="77">
        <v>130010.0</v>
      </c>
      <c r="AA84" s="77">
        <v>130010.0</v>
      </c>
      <c r="AB84" s="77" t="s">
        <v>668</v>
      </c>
      <c r="AC84" s="77" t="s">
        <v>1620</v>
      </c>
    </row>
    <row r="85">
      <c r="A85" s="8" t="s">
        <v>1347</v>
      </c>
      <c r="B85" s="8" t="s">
        <v>1350</v>
      </c>
      <c r="C85" s="8">
        <v>2.0</v>
      </c>
      <c r="D85" s="86"/>
      <c r="E85" s="8">
        <v>1.0</v>
      </c>
      <c r="F85" s="8"/>
      <c r="L85" s="54" t="s">
        <v>1151</v>
      </c>
      <c r="M85" s="8" t="s">
        <v>1452</v>
      </c>
      <c r="N85" s="8" t="s">
        <v>1621</v>
      </c>
      <c r="O85" s="8" t="s">
        <v>1454</v>
      </c>
      <c r="P85" s="8">
        <v>22180.0</v>
      </c>
      <c r="Z85" s="8">
        <v>95469.0</v>
      </c>
      <c r="AA85" s="8">
        <v>95469.0</v>
      </c>
      <c r="AB85" s="8" t="s">
        <v>668</v>
      </c>
      <c r="AC85" s="8" t="s">
        <v>1622</v>
      </c>
    </row>
    <row r="86">
      <c r="A86" s="8" t="s">
        <v>1347</v>
      </c>
      <c r="B86" s="8" t="s">
        <v>1353</v>
      </c>
      <c r="C86" s="8">
        <v>3.0</v>
      </c>
      <c r="D86" s="86"/>
      <c r="E86" s="8">
        <v>1.0</v>
      </c>
      <c r="F86" s="8"/>
      <c r="L86" s="54" t="s">
        <v>1151</v>
      </c>
      <c r="M86" s="8" t="s">
        <v>1452</v>
      </c>
      <c r="N86" s="8" t="s">
        <v>1623</v>
      </c>
      <c r="O86" s="8" t="s">
        <v>1454</v>
      </c>
      <c r="P86" s="8">
        <v>23380.0</v>
      </c>
      <c r="Z86" s="8">
        <v>100189.0</v>
      </c>
      <c r="AA86" s="8">
        <v>100189.0</v>
      </c>
      <c r="AB86" s="8" t="s">
        <v>668</v>
      </c>
      <c r="AC86" s="8" t="s">
        <v>1624</v>
      </c>
    </row>
    <row r="87">
      <c r="A87" s="21" t="s">
        <v>1347</v>
      </c>
      <c r="B87" s="21" t="s">
        <v>1354</v>
      </c>
      <c r="C87" s="21">
        <v>4.0</v>
      </c>
      <c r="D87" s="21"/>
      <c r="E87" s="21"/>
      <c r="F87" s="21"/>
      <c r="G87" s="83"/>
      <c r="H87" s="21"/>
      <c r="I87" s="21"/>
      <c r="J87" s="83"/>
      <c r="K87" s="83"/>
      <c r="L87" s="54" t="s">
        <v>668</v>
      </c>
      <c r="M87" s="21" t="s">
        <v>1471</v>
      </c>
      <c r="N87" s="21" t="s">
        <v>1625</v>
      </c>
      <c r="O87" s="21" t="s">
        <v>1473</v>
      </c>
      <c r="P87" s="21">
        <v>20160.0</v>
      </c>
      <c r="Q87" s="83"/>
      <c r="R87" s="83"/>
      <c r="S87" s="83"/>
      <c r="T87" s="83"/>
      <c r="U87" s="83"/>
      <c r="V87" s="83"/>
      <c r="W87" s="83"/>
      <c r="X87" s="83"/>
      <c r="Y87" s="83"/>
      <c r="Z87" s="21">
        <v>41081.0</v>
      </c>
      <c r="AA87" s="21">
        <v>41061.0</v>
      </c>
      <c r="AB87" s="21" t="s">
        <v>1626</v>
      </c>
      <c r="AC87" s="21" t="s">
        <v>1627</v>
      </c>
    </row>
    <row r="88">
      <c r="A88" s="8" t="s">
        <v>1355</v>
      </c>
      <c r="B88" s="8" t="s">
        <v>1358</v>
      </c>
      <c r="C88" s="8">
        <v>1.0</v>
      </c>
      <c r="D88" s="8">
        <v>2.6E-4</v>
      </c>
      <c r="E88" s="8">
        <v>0.99957</v>
      </c>
      <c r="F88" s="8"/>
      <c r="I88" s="8">
        <v>1.8E-4</v>
      </c>
      <c r="L88" s="54" t="s">
        <v>1151</v>
      </c>
      <c r="M88" s="8" t="s">
        <v>1448</v>
      </c>
      <c r="N88" s="8" t="s">
        <v>1628</v>
      </c>
      <c r="O88" s="8" t="s">
        <v>1450</v>
      </c>
      <c r="P88" s="8">
        <v>12800.0</v>
      </c>
      <c r="Q88" s="8">
        <v>12682.5</v>
      </c>
      <c r="R88" s="8">
        <v>0.06</v>
      </c>
      <c r="S88" s="8">
        <v>97.05</v>
      </c>
      <c r="W88" s="8">
        <v>0.05</v>
      </c>
      <c r="Z88" s="8">
        <v>53490.0</v>
      </c>
      <c r="AA88" s="8">
        <v>53490.0</v>
      </c>
      <c r="AB88" s="8" t="s">
        <v>668</v>
      </c>
      <c r="AC88" s="8" t="s">
        <v>1629</v>
      </c>
    </row>
    <row r="89">
      <c r="A89" s="8" t="s">
        <v>1360</v>
      </c>
      <c r="B89" s="8" t="s">
        <v>1363</v>
      </c>
      <c r="C89" s="8">
        <v>1.0</v>
      </c>
      <c r="D89" s="8">
        <v>1.0</v>
      </c>
      <c r="E89" s="8"/>
      <c r="F89" s="8"/>
      <c r="L89" s="54" t="s">
        <v>1151</v>
      </c>
      <c r="M89" s="8" t="s">
        <v>1452</v>
      </c>
      <c r="N89" s="8" t="s">
        <v>1630</v>
      </c>
      <c r="O89" s="8" t="s">
        <v>1454</v>
      </c>
      <c r="P89" s="8">
        <v>25582.0</v>
      </c>
      <c r="Z89" s="8">
        <v>108627.0</v>
      </c>
      <c r="AA89" s="8">
        <v>108627.0</v>
      </c>
      <c r="AB89" s="8" t="s">
        <v>668</v>
      </c>
      <c r="AC89" s="8" t="s">
        <v>1631</v>
      </c>
    </row>
  </sheetData>
  <drawing r:id="rId4"/>
  <legacy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5.88"/>
    <col customWidth="1" min="2" max="2" width="46.75"/>
  </cols>
  <sheetData>
    <row r="1">
      <c r="C1" s="62" t="s">
        <v>1365</v>
      </c>
      <c r="D1" s="62" t="s">
        <v>1366</v>
      </c>
      <c r="E1" s="62" t="s">
        <v>1367</v>
      </c>
      <c r="F1" s="62" t="s">
        <v>1368</v>
      </c>
      <c r="G1" s="62" t="s">
        <v>1369</v>
      </c>
      <c r="H1" s="62" t="s">
        <v>1370</v>
      </c>
      <c r="I1" s="62" t="s">
        <v>1371</v>
      </c>
      <c r="J1" s="62" t="s">
        <v>1372</v>
      </c>
      <c r="K1" s="62" t="s">
        <v>1373</v>
      </c>
    </row>
    <row r="2">
      <c r="A2" s="32"/>
      <c r="B2" s="32">
        <v>1.0</v>
      </c>
      <c r="C2" s="32">
        <v>13221.0</v>
      </c>
      <c r="D2" s="32">
        <v>16.25</v>
      </c>
      <c r="E2" s="32">
        <v>66.57</v>
      </c>
      <c r="F2" s="32">
        <v>0.0</v>
      </c>
      <c r="G2" s="32">
        <v>0.0</v>
      </c>
      <c r="H2" s="32">
        <v>3.52</v>
      </c>
      <c r="I2" s="32">
        <v>1.22</v>
      </c>
      <c r="J2" s="32">
        <v>0.0</v>
      </c>
      <c r="K2" s="32">
        <v>0.0</v>
      </c>
    </row>
    <row r="3">
      <c r="A3" s="63"/>
      <c r="B3" s="32">
        <v>2.0</v>
      </c>
      <c r="C3" s="32">
        <v>9904.0</v>
      </c>
      <c r="D3" s="32">
        <v>0.02</v>
      </c>
      <c r="E3" s="32">
        <v>97.01</v>
      </c>
      <c r="F3" s="32">
        <v>0.0</v>
      </c>
      <c r="G3" s="32">
        <v>0.0</v>
      </c>
      <c r="H3" s="32">
        <v>0.0</v>
      </c>
      <c r="I3" s="32">
        <v>0.01</v>
      </c>
      <c r="J3" s="32">
        <v>0.0</v>
      </c>
      <c r="K3" s="32">
        <v>0.0</v>
      </c>
    </row>
    <row r="4">
      <c r="A4" s="63"/>
      <c r="B4" s="32">
        <v>3.0</v>
      </c>
      <c r="C4" s="32">
        <v>12162.0</v>
      </c>
      <c r="D4" s="32">
        <v>0.05</v>
      </c>
      <c r="E4" s="32">
        <v>98.86</v>
      </c>
      <c r="F4" s="32">
        <v>0.0</v>
      </c>
      <c r="G4" s="32">
        <v>0.01</v>
      </c>
      <c r="H4" s="32">
        <v>0.0</v>
      </c>
      <c r="I4" s="32">
        <v>0.01</v>
      </c>
      <c r="J4" s="32">
        <v>0.0</v>
      </c>
      <c r="K4" s="32">
        <v>0.0</v>
      </c>
    </row>
    <row r="5">
      <c r="A5" s="63"/>
      <c r="B5" s="32">
        <v>4.0</v>
      </c>
      <c r="C5" s="32"/>
      <c r="D5" s="32"/>
      <c r="E5" s="32"/>
      <c r="F5" s="32"/>
      <c r="G5" s="32"/>
      <c r="H5" s="32"/>
      <c r="I5" s="32"/>
      <c r="J5" s="32"/>
      <c r="K5" s="32"/>
    </row>
    <row r="6">
      <c r="A6" s="63"/>
      <c r="B6" s="32">
        <v>5.0</v>
      </c>
      <c r="C6" s="32"/>
      <c r="D6" s="32"/>
      <c r="E6" s="32"/>
      <c r="F6" s="32"/>
      <c r="G6" s="32"/>
      <c r="H6" s="32"/>
      <c r="I6" s="32"/>
      <c r="J6" s="32"/>
      <c r="K6" s="32"/>
    </row>
    <row r="8">
      <c r="B8" s="8" t="s">
        <v>1632</v>
      </c>
      <c r="C8" s="64">
        <f t="shared" ref="C8:C9" si="2">sum(D8:K8)</f>
        <v>33219.0158</v>
      </c>
      <c r="D8" s="14">
        <f t="shared" ref="D8:K8" si="1">(D5/100)*$C5 + (D4/100)*$C4 + (D3/100)*$C3+ (D2/100)*$C2 + (D6/100)*$C6</f>
        <v>2156.4743</v>
      </c>
      <c r="E8" s="14">
        <f t="shared" si="1"/>
        <v>30432.4433</v>
      </c>
      <c r="F8" s="14">
        <f t="shared" si="1"/>
        <v>0</v>
      </c>
      <c r="G8" s="14">
        <f t="shared" si="1"/>
        <v>1.2162</v>
      </c>
      <c r="H8" s="14">
        <f t="shared" si="1"/>
        <v>465.3792</v>
      </c>
      <c r="I8" s="14">
        <f t="shared" si="1"/>
        <v>163.5028</v>
      </c>
      <c r="J8" s="14">
        <f t="shared" si="1"/>
        <v>0</v>
      </c>
      <c r="K8" s="14">
        <f t="shared" si="1"/>
        <v>0</v>
      </c>
      <c r="M8" s="64"/>
    </row>
    <row r="9">
      <c r="A9" s="65" t="s">
        <v>1374</v>
      </c>
      <c r="B9" s="8" t="s">
        <v>1375</v>
      </c>
      <c r="C9" s="64">
        <f t="shared" si="2"/>
        <v>15.06781338</v>
      </c>
      <c r="D9" s="66">
        <f t="shared" ref="D9:K9" si="3">D8*0.00045359</f>
        <v>0.9781551777</v>
      </c>
      <c r="E9" s="66">
        <f t="shared" si="3"/>
        <v>13.80385196</v>
      </c>
      <c r="F9" s="66">
        <f t="shared" si="3"/>
        <v>0</v>
      </c>
      <c r="G9" s="66">
        <f t="shared" si="3"/>
        <v>0.000551656158</v>
      </c>
      <c r="H9" s="66">
        <f t="shared" si="3"/>
        <v>0.2110913513</v>
      </c>
      <c r="I9" s="66">
        <f t="shared" si="3"/>
        <v>0.07416323505</v>
      </c>
      <c r="J9" s="66">
        <f t="shared" si="3"/>
        <v>0</v>
      </c>
      <c r="K9" s="66">
        <f t="shared" si="3"/>
        <v>0</v>
      </c>
      <c r="M9" s="64"/>
    </row>
    <row r="10">
      <c r="A10" s="8"/>
      <c r="B10" s="8"/>
      <c r="C10" s="64"/>
      <c r="D10" s="14"/>
      <c r="E10" s="14"/>
      <c r="F10" s="14"/>
      <c r="G10" s="14"/>
      <c r="H10" s="14"/>
      <c r="I10" s="14"/>
      <c r="M10" s="64"/>
    </row>
    <row r="11">
      <c r="A11" s="63"/>
      <c r="B11" s="32" t="s">
        <v>1376</v>
      </c>
      <c r="C11" s="35">
        <v>328617.0</v>
      </c>
      <c r="D11" s="63"/>
      <c r="E11" s="63"/>
      <c r="F11" s="63"/>
      <c r="G11" s="63"/>
      <c r="H11" s="63"/>
      <c r="I11" s="63"/>
      <c r="J11" s="63"/>
      <c r="K11" s="63"/>
    </row>
    <row r="12">
      <c r="A12" s="8" t="s">
        <v>1377</v>
      </c>
      <c r="B12" s="8" t="s">
        <v>1378</v>
      </c>
      <c r="C12" s="64">
        <f>sum(C14)</f>
        <v>149056.9759</v>
      </c>
      <c r="D12" s="14"/>
      <c r="E12" s="14"/>
      <c r="F12" s="14"/>
      <c r="G12" s="14"/>
      <c r="H12" s="14"/>
      <c r="I12" s="14"/>
      <c r="J12" s="14"/>
      <c r="K12" s="14"/>
      <c r="M12" s="64"/>
    </row>
    <row r="13">
      <c r="A13" s="8"/>
      <c r="B13" s="8"/>
      <c r="C13" s="64"/>
      <c r="D13" s="14"/>
      <c r="E13" s="14"/>
      <c r="F13" s="14"/>
      <c r="G13" s="14"/>
      <c r="H13" s="14"/>
      <c r="I13" s="14"/>
      <c r="J13" s="14"/>
      <c r="K13" s="14"/>
      <c r="M13" s="64"/>
    </row>
    <row r="14">
      <c r="A14" s="8" t="s">
        <v>1379</v>
      </c>
      <c r="B14" s="8" t="s">
        <v>1380</v>
      </c>
      <c r="C14" s="64">
        <f>sum(D14:K14)</f>
        <v>149056.9759</v>
      </c>
      <c r="D14" s="14">
        <f t="shared" ref="D14:K14" si="4">D9*D15*D16</f>
        <v>4135.151014</v>
      </c>
      <c r="E14" s="14">
        <f t="shared" si="4"/>
        <v>142938.887</v>
      </c>
      <c r="F14" s="14">
        <f t="shared" si="4"/>
        <v>0</v>
      </c>
      <c r="G14" s="14">
        <f t="shared" si="4"/>
        <v>3.009670501</v>
      </c>
      <c r="H14" s="14">
        <f t="shared" si="4"/>
        <v>1646.51254</v>
      </c>
      <c r="I14" s="14">
        <f t="shared" si="4"/>
        <v>333.4156558</v>
      </c>
      <c r="J14" s="14">
        <f t="shared" si="4"/>
        <v>0</v>
      </c>
      <c r="K14" s="14">
        <f t="shared" si="4"/>
        <v>0</v>
      </c>
      <c r="M14" s="64"/>
    </row>
    <row r="15">
      <c r="A15" s="67" t="s">
        <v>1381</v>
      </c>
      <c r="B15" s="67" t="s">
        <v>1382</v>
      </c>
      <c r="C15" s="68"/>
      <c r="D15" s="67">
        <v>0.89</v>
      </c>
      <c r="E15" s="67">
        <v>0.95</v>
      </c>
      <c r="F15" s="67">
        <v>0.61</v>
      </c>
      <c r="G15" s="67">
        <v>0.89</v>
      </c>
      <c r="H15" s="67">
        <v>0.78</v>
      </c>
      <c r="I15" s="67">
        <v>0.61</v>
      </c>
      <c r="J15" s="68"/>
      <c r="K15" s="68"/>
    </row>
    <row r="16">
      <c r="A16" s="67" t="s">
        <v>1383</v>
      </c>
      <c r="B16" s="67" t="s">
        <v>1384</v>
      </c>
      <c r="C16" s="68"/>
      <c r="D16" s="67">
        <v>4750.0</v>
      </c>
      <c r="E16" s="67">
        <v>10900.0</v>
      </c>
      <c r="F16" s="67">
        <v>14400.0</v>
      </c>
      <c r="G16" s="67">
        <v>6130.0</v>
      </c>
      <c r="H16" s="67">
        <v>10000.0</v>
      </c>
      <c r="I16" s="67">
        <v>7370.0</v>
      </c>
      <c r="J16" s="67">
        <v>1810.0</v>
      </c>
      <c r="K16" s="67">
        <v>725.0</v>
      </c>
      <c r="M16" s="64"/>
    </row>
    <row r="17">
      <c r="A17" s="8"/>
      <c r="B17" s="8"/>
      <c r="C17" s="64"/>
      <c r="D17" s="14"/>
      <c r="E17" s="14"/>
      <c r="F17" s="14"/>
      <c r="G17" s="14"/>
      <c r="H17" s="14"/>
      <c r="I17" s="14"/>
      <c r="M17" s="64"/>
    </row>
    <row r="18">
      <c r="A18" s="8" t="s">
        <v>1633</v>
      </c>
      <c r="B18" s="8" t="s">
        <v>1634</v>
      </c>
      <c r="C18" s="11">
        <v>0.0</v>
      </c>
      <c r="D18" s="14"/>
      <c r="E18" s="14"/>
      <c r="F18" s="14"/>
      <c r="G18" s="14"/>
      <c r="H18" s="14"/>
      <c r="I18" s="14"/>
      <c r="M18" s="64"/>
    </row>
    <row r="19">
      <c r="A19" s="67" t="s">
        <v>1635</v>
      </c>
      <c r="B19" s="67" t="s">
        <v>1384</v>
      </c>
      <c r="C19" s="88"/>
      <c r="D19" s="67">
        <v>4750.0</v>
      </c>
      <c r="E19" s="67">
        <v>10900.0</v>
      </c>
      <c r="F19" s="89"/>
      <c r="G19" s="89"/>
      <c r="H19" s="89"/>
      <c r="I19" s="89"/>
      <c r="J19" s="90">
        <v>1810.0</v>
      </c>
      <c r="K19" s="67">
        <v>725.0</v>
      </c>
      <c r="M19" s="64"/>
    </row>
    <row r="20">
      <c r="A20" s="67" t="s">
        <v>1636</v>
      </c>
      <c r="B20" s="67" t="s">
        <v>1637</v>
      </c>
      <c r="C20" s="68"/>
      <c r="D20" s="67">
        <v>0.44</v>
      </c>
      <c r="E20" s="67">
        <v>0.55</v>
      </c>
      <c r="F20" s="67"/>
      <c r="G20" s="67"/>
      <c r="H20" s="67"/>
      <c r="I20" s="67"/>
      <c r="J20" s="67">
        <v>0.75</v>
      </c>
      <c r="K20" s="67">
        <v>0.5</v>
      </c>
    </row>
    <row r="21">
      <c r="A21" s="67" t="s">
        <v>1638</v>
      </c>
      <c r="B21" s="67" t="s">
        <v>1639</v>
      </c>
      <c r="C21" s="68"/>
      <c r="D21" s="67">
        <v>0.2</v>
      </c>
      <c r="E21" s="67">
        <v>0.36</v>
      </c>
      <c r="F21" s="67"/>
      <c r="G21" s="67"/>
      <c r="H21" s="67"/>
      <c r="I21" s="67"/>
      <c r="J21" s="67">
        <v>0.65</v>
      </c>
      <c r="K21" s="67">
        <v>0.29</v>
      </c>
    </row>
    <row r="23">
      <c r="A23" s="63"/>
      <c r="B23" s="32" t="s">
        <v>1385</v>
      </c>
      <c r="C23" s="35">
        <v>22100.0</v>
      </c>
      <c r="D23" s="63"/>
      <c r="E23" s="63"/>
      <c r="F23" s="63"/>
      <c r="G23" s="63"/>
      <c r="H23" s="63"/>
      <c r="I23" s="63"/>
      <c r="J23" s="63"/>
      <c r="K23" s="63"/>
    </row>
    <row r="24">
      <c r="A24" s="8" t="s">
        <v>1386</v>
      </c>
      <c r="B24" s="8" t="s">
        <v>1385</v>
      </c>
      <c r="C24" s="69">
        <f>sum(C26,C29,C31)</f>
        <v>10024.28214</v>
      </c>
    </row>
    <row r="25">
      <c r="A25" s="8"/>
      <c r="B25" s="8"/>
      <c r="C25" s="51"/>
      <c r="D25" s="51"/>
      <c r="E25" s="51"/>
      <c r="F25" s="51"/>
      <c r="G25" s="51"/>
      <c r="H25" s="51"/>
      <c r="I25" s="51"/>
      <c r="J25" s="51"/>
      <c r="K25" s="51"/>
    </row>
    <row r="26">
      <c r="A26" s="8" t="s">
        <v>1387</v>
      </c>
      <c r="B26" s="8" t="s">
        <v>1388</v>
      </c>
      <c r="C26" s="51">
        <f>sum(D26:K26)</f>
        <v>9911.273536</v>
      </c>
      <c r="D26" s="51">
        <f t="shared" ref="D26:K26" si="5">D9*D27</f>
        <v>218.1286046</v>
      </c>
      <c r="E26" s="51">
        <f t="shared" si="5"/>
        <v>9469.442442</v>
      </c>
      <c r="F26" s="51">
        <f t="shared" si="5"/>
        <v>0</v>
      </c>
      <c r="G26" s="51">
        <f t="shared" si="5"/>
        <v>0.1213643548</v>
      </c>
      <c r="H26" s="51">
        <f t="shared" si="5"/>
        <v>139.1092005</v>
      </c>
      <c r="I26" s="51">
        <f t="shared" si="5"/>
        <v>84.47192472</v>
      </c>
      <c r="J26" s="51">
        <f t="shared" si="5"/>
        <v>0</v>
      </c>
      <c r="K26" s="51">
        <f t="shared" si="5"/>
        <v>0</v>
      </c>
    </row>
    <row r="27">
      <c r="A27" s="67" t="s">
        <v>1389</v>
      </c>
      <c r="B27" s="67" t="s">
        <v>1390</v>
      </c>
      <c r="C27" s="68"/>
      <c r="D27" s="67">
        <v>223.0</v>
      </c>
      <c r="E27" s="67">
        <v>686.0</v>
      </c>
      <c r="F27" s="67">
        <v>7144.0</v>
      </c>
      <c r="G27" s="67">
        <v>220.0</v>
      </c>
      <c r="H27" s="67">
        <v>659.0</v>
      </c>
      <c r="I27" s="67">
        <v>1139.0</v>
      </c>
      <c r="J27" s="68"/>
      <c r="K27" s="68"/>
    </row>
    <row r="28">
      <c r="A28" s="8"/>
      <c r="B28" s="8"/>
      <c r="C28" s="8"/>
    </row>
    <row r="29">
      <c r="A29" s="8" t="s">
        <v>1640</v>
      </c>
      <c r="B29" s="8" t="s">
        <v>1641</v>
      </c>
      <c r="C29" s="8">
        <v>0.0</v>
      </c>
    </row>
    <row r="30">
      <c r="A30" s="8"/>
      <c r="B30" s="8"/>
      <c r="C30" s="51"/>
    </row>
    <row r="31">
      <c r="A31" s="8" t="s">
        <v>1391</v>
      </c>
      <c r="B31" s="8" t="s">
        <v>1392</v>
      </c>
      <c r="C31" s="51">
        <f>C32*C33</f>
        <v>113.0086003</v>
      </c>
      <c r="D31" s="70">
        <f t="shared" ref="D31:K31" si="6">D32*$C33</f>
        <v>7.336163833</v>
      </c>
      <c r="E31" s="70">
        <f t="shared" si="6"/>
        <v>103.5288897</v>
      </c>
      <c r="F31" s="70">
        <f t="shared" si="6"/>
        <v>0</v>
      </c>
      <c r="G31" s="70">
        <f t="shared" si="6"/>
        <v>0.004137421185</v>
      </c>
      <c r="H31" s="70">
        <f t="shared" si="6"/>
        <v>1.583185135</v>
      </c>
      <c r="I31" s="70">
        <f t="shared" si="6"/>
        <v>0.5562242629</v>
      </c>
      <c r="J31" s="70">
        <f t="shared" si="6"/>
        <v>0</v>
      </c>
      <c r="K31" s="70">
        <f t="shared" si="6"/>
        <v>0</v>
      </c>
    </row>
    <row r="32">
      <c r="A32" s="8" t="s">
        <v>1393</v>
      </c>
      <c r="B32" s="8" t="s">
        <v>1394</v>
      </c>
      <c r="C32" s="64">
        <f t="shared" ref="C32:K32" si="7">C9</f>
        <v>15.06781338</v>
      </c>
      <c r="D32" s="66">
        <f t="shared" si="7"/>
        <v>0.9781551777</v>
      </c>
      <c r="E32" s="66">
        <f t="shared" si="7"/>
        <v>13.80385196</v>
      </c>
      <c r="F32" s="66">
        <f t="shared" si="7"/>
        <v>0</v>
      </c>
      <c r="G32" s="66">
        <f t="shared" si="7"/>
        <v>0.000551656158</v>
      </c>
      <c r="H32" s="66">
        <f t="shared" si="7"/>
        <v>0.2110913513</v>
      </c>
      <c r="I32" s="66">
        <f t="shared" si="7"/>
        <v>0.07416323505</v>
      </c>
      <c r="J32" s="66">
        <f t="shared" si="7"/>
        <v>0</v>
      </c>
      <c r="K32" s="66">
        <f t="shared" si="7"/>
        <v>0</v>
      </c>
    </row>
    <row r="33">
      <c r="A33" s="67" t="s">
        <v>1395</v>
      </c>
      <c r="B33" s="67" t="s">
        <v>1396</v>
      </c>
      <c r="C33" s="67">
        <v>7.5</v>
      </c>
      <c r="D33" s="68"/>
      <c r="E33" s="68"/>
      <c r="F33" s="68"/>
      <c r="G33" s="68"/>
      <c r="H33" s="68"/>
      <c r="I33" s="68"/>
      <c r="J33" s="68"/>
      <c r="K33" s="68"/>
    </row>
    <row r="34">
      <c r="A34" s="8"/>
      <c r="B34" s="8"/>
      <c r="C34" s="8"/>
    </row>
    <row r="35">
      <c r="B35" s="8"/>
    </row>
    <row r="36">
      <c r="A36" s="63"/>
      <c r="B36" s="32" t="s">
        <v>1398</v>
      </c>
      <c r="C36" s="35">
        <v>306517.0</v>
      </c>
      <c r="D36" s="63"/>
      <c r="E36" s="63"/>
      <c r="F36" s="63"/>
      <c r="G36" s="63"/>
      <c r="H36" s="63"/>
      <c r="I36" s="63"/>
      <c r="J36" s="63"/>
      <c r="K36" s="63"/>
    </row>
    <row r="37">
      <c r="B37" s="8" t="s">
        <v>1399</v>
      </c>
      <c r="C37" s="64">
        <f t="shared" ref="C37:K37" si="8">C14-C26-C31</f>
        <v>139032.6938</v>
      </c>
      <c r="D37" s="14">
        <f t="shared" si="8"/>
        <v>3909.686245</v>
      </c>
      <c r="E37" s="14">
        <f t="shared" si="8"/>
        <v>133365.9157</v>
      </c>
      <c r="F37" s="14">
        <f t="shared" si="8"/>
        <v>0</v>
      </c>
      <c r="G37" s="14">
        <f t="shared" si="8"/>
        <v>2.884168725</v>
      </c>
      <c r="H37" s="14">
        <f t="shared" si="8"/>
        <v>1505.820155</v>
      </c>
      <c r="I37" s="14">
        <f t="shared" si="8"/>
        <v>248.3875068</v>
      </c>
      <c r="J37" s="14">
        <f t="shared" si="8"/>
        <v>0</v>
      </c>
      <c r="K37" s="14">
        <f t="shared" si="8"/>
        <v>0</v>
      </c>
    </row>
    <row r="38">
      <c r="B38" s="8" t="s">
        <v>1400</v>
      </c>
      <c r="C38" s="71">
        <f>abs(C37-C36)/C36</f>
        <v>0.5464111493</v>
      </c>
    </row>
    <row r="39">
      <c r="B39" s="1" t="s">
        <v>1408</v>
      </c>
      <c r="C39" s="72">
        <f>sum(D39:K39)</f>
        <v>1</v>
      </c>
      <c r="D39" s="73">
        <f t="shared" ref="D39:K39" si="9">D37/$C37</f>
        <v>0.02812062501</v>
      </c>
      <c r="E39" s="73">
        <f t="shared" si="9"/>
        <v>0.9592413991</v>
      </c>
      <c r="F39" s="73">
        <f t="shared" si="9"/>
        <v>0</v>
      </c>
      <c r="G39" s="73">
        <f t="shared" si="9"/>
        <v>0.00002074453603</v>
      </c>
      <c r="H39" s="73">
        <f t="shared" si="9"/>
        <v>0.01083069107</v>
      </c>
      <c r="I39" s="73">
        <f t="shared" si="9"/>
        <v>0.001786540274</v>
      </c>
      <c r="J39" s="73">
        <f t="shared" si="9"/>
        <v>0</v>
      </c>
      <c r="K39" s="73">
        <f t="shared" si="9"/>
        <v>0</v>
      </c>
    </row>
    <row r="41">
      <c r="B41" s="1" t="s">
        <v>1402</v>
      </c>
      <c r="C41" s="72">
        <f>sum(D41:K41)</f>
        <v>1</v>
      </c>
      <c r="D41" s="73">
        <f t="shared" ref="D41:K41" si="10">(D14*($C36/$C14))/$C36</f>
        <v>0.02774208311</v>
      </c>
      <c r="E41" s="73">
        <f t="shared" si="10"/>
        <v>0.9589546961</v>
      </c>
      <c r="F41" s="73">
        <f t="shared" si="10"/>
        <v>0</v>
      </c>
      <c r="G41" s="73">
        <f t="shared" si="10"/>
        <v>0.00002019140992</v>
      </c>
      <c r="H41" s="73">
        <f t="shared" si="10"/>
        <v>0.0110461958</v>
      </c>
      <c r="I41" s="73">
        <f t="shared" si="10"/>
        <v>0.002236833626</v>
      </c>
      <c r="J41" s="73">
        <f t="shared" si="10"/>
        <v>0</v>
      </c>
      <c r="K41" s="73">
        <f t="shared" si="10"/>
        <v>0</v>
      </c>
    </row>
    <row r="42">
      <c r="B42" s="8" t="s">
        <v>1642</v>
      </c>
      <c r="D42" s="75">
        <f t="shared" ref="D42:K42" si="11">(D41-D39)/D39</f>
        <v>-0.01346136146</v>
      </c>
      <c r="E42" s="75">
        <f t="shared" si="11"/>
        <v>-0.0002988851953</v>
      </c>
      <c r="F42" s="75" t="str">
        <f t="shared" si="11"/>
        <v>#DIV/0!</v>
      </c>
      <c r="G42" s="75">
        <f t="shared" si="11"/>
        <v>-0.02666370144</v>
      </c>
      <c r="H42" s="75">
        <f t="shared" si="11"/>
        <v>0.01989759692</v>
      </c>
      <c r="I42" s="75">
        <f t="shared" si="11"/>
        <v>0.2520476912</v>
      </c>
      <c r="J42" s="75" t="str">
        <f t="shared" si="11"/>
        <v>#DIV/0!</v>
      </c>
      <c r="K42" s="75" t="str">
        <f t="shared" si="11"/>
        <v>#DIV/0!</v>
      </c>
    </row>
    <row r="44">
      <c r="D44" s="66"/>
      <c r="E44" s="66"/>
      <c r="F44" s="66"/>
      <c r="G44" s="66"/>
      <c r="H44" s="66"/>
      <c r="I44" s="66"/>
      <c r="J44" s="66"/>
      <c r="K44" s="66"/>
    </row>
    <row r="45">
      <c r="D45" s="75"/>
      <c r="E45" s="75"/>
      <c r="F45" s="75"/>
      <c r="G45" s="75"/>
      <c r="H45" s="75"/>
      <c r="I45" s="75"/>
      <c r="J45" s="75"/>
      <c r="K45" s="75"/>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2" max="2" width="19.5"/>
    <col customWidth="1" min="4" max="4" width="13.63"/>
  </cols>
  <sheetData>
    <row r="1">
      <c r="C1" s="8" t="s">
        <v>1643</v>
      </c>
      <c r="D1" s="8">
        <v>4750.0</v>
      </c>
      <c r="E1" s="8">
        <v>10900.0</v>
      </c>
      <c r="F1" s="8">
        <v>14400.0</v>
      </c>
      <c r="G1" s="8">
        <v>6130.0</v>
      </c>
      <c r="H1" s="8">
        <v>10000.0</v>
      </c>
      <c r="I1" s="8">
        <v>7370.0</v>
      </c>
      <c r="J1" s="8">
        <v>1810.0</v>
      </c>
      <c r="K1" s="8">
        <v>725.0</v>
      </c>
      <c r="M1" s="64"/>
    </row>
    <row r="3">
      <c r="C3" s="62" t="s">
        <v>1365</v>
      </c>
      <c r="D3" s="62" t="s">
        <v>1366</v>
      </c>
      <c r="E3" s="62" t="s">
        <v>1367</v>
      </c>
      <c r="F3" s="62" t="s">
        <v>1368</v>
      </c>
      <c r="G3" s="62" t="s">
        <v>1369</v>
      </c>
      <c r="H3" s="62" t="s">
        <v>1370</v>
      </c>
      <c r="I3" s="62" t="s">
        <v>1371</v>
      </c>
      <c r="J3" s="62" t="s">
        <v>1372</v>
      </c>
      <c r="K3" s="62" t="s">
        <v>1373</v>
      </c>
    </row>
    <row r="4">
      <c r="A4" s="32" t="s">
        <v>34</v>
      </c>
      <c r="B4" s="32">
        <v>1.0</v>
      </c>
      <c r="C4" s="32">
        <v>6570.0</v>
      </c>
      <c r="D4" s="32">
        <v>0.18</v>
      </c>
      <c r="E4" s="32">
        <v>77.9</v>
      </c>
      <c r="F4" s="32">
        <v>0.0</v>
      </c>
      <c r="G4" s="32">
        <v>0.07</v>
      </c>
      <c r="H4" s="32">
        <v>5.11</v>
      </c>
      <c r="I4" s="32">
        <v>4.7</v>
      </c>
      <c r="J4" s="32">
        <v>0.0</v>
      </c>
      <c r="K4" s="32">
        <v>0.0</v>
      </c>
    </row>
    <row r="5">
      <c r="A5" s="63"/>
      <c r="B5" s="32">
        <v>2.0</v>
      </c>
      <c r="C5" s="32">
        <v>5700.0</v>
      </c>
      <c r="D5" s="32">
        <v>0.3</v>
      </c>
      <c r="E5" s="32">
        <v>82.23</v>
      </c>
      <c r="F5" s="32">
        <v>0.0</v>
      </c>
      <c r="G5" s="32">
        <v>0.04</v>
      </c>
      <c r="H5" s="32">
        <v>1.11</v>
      </c>
      <c r="I5" s="32">
        <v>5.56</v>
      </c>
      <c r="J5" s="32">
        <v>0.0</v>
      </c>
      <c r="K5" s="32">
        <v>0.0</v>
      </c>
    </row>
    <row r="6">
      <c r="A6" s="63"/>
      <c r="B6" s="32">
        <v>3.0</v>
      </c>
      <c r="C6" s="32">
        <v>4186.0</v>
      </c>
      <c r="D6" s="32">
        <v>0.27</v>
      </c>
      <c r="E6" s="32">
        <v>93.49</v>
      </c>
      <c r="F6" s="32">
        <v>0.0</v>
      </c>
      <c r="G6" s="32">
        <v>0.41</v>
      </c>
      <c r="H6" s="32">
        <v>0.64</v>
      </c>
      <c r="I6" s="32">
        <v>1.49</v>
      </c>
      <c r="J6" s="32">
        <v>0.0</v>
      </c>
      <c r="K6" s="32">
        <v>0.0</v>
      </c>
    </row>
    <row r="7">
      <c r="A7" s="63"/>
      <c r="B7" s="32">
        <v>4.0</v>
      </c>
      <c r="C7" s="32">
        <v>7290.0</v>
      </c>
      <c r="D7" s="32">
        <v>0.01</v>
      </c>
      <c r="E7" s="32">
        <v>0.1</v>
      </c>
      <c r="F7" s="32">
        <v>0.0</v>
      </c>
      <c r="G7" s="32">
        <v>99.78</v>
      </c>
      <c r="H7" s="32">
        <v>0.01</v>
      </c>
      <c r="I7" s="32">
        <v>0.02</v>
      </c>
      <c r="J7" s="32">
        <v>0.0</v>
      </c>
      <c r="K7" s="32">
        <v>0.0</v>
      </c>
    </row>
    <row r="9">
      <c r="A9" s="8"/>
      <c r="B9" s="8" t="s">
        <v>1644</v>
      </c>
      <c r="C9" s="64">
        <f t="shared" ref="C9:C12" si="2">sum(D9:K9)</f>
        <v>22180.938</v>
      </c>
      <c r="D9" s="14">
        <f t="shared" ref="D9:K9" si="1">(D7/100)*$C7 + (D6/100)*$C6 + (D5/100)*$C5+ (D4/100)*$C4</f>
        <v>40.9572</v>
      </c>
      <c r="E9" s="14">
        <f t="shared" si="1"/>
        <v>13725.9214</v>
      </c>
      <c r="F9" s="14">
        <f t="shared" si="1"/>
        <v>0</v>
      </c>
      <c r="G9" s="14">
        <f t="shared" si="1"/>
        <v>7298.0036</v>
      </c>
      <c r="H9" s="14">
        <f t="shared" si="1"/>
        <v>426.5164</v>
      </c>
      <c r="I9" s="14">
        <f t="shared" si="1"/>
        <v>689.5394</v>
      </c>
      <c r="J9" s="14">
        <f t="shared" si="1"/>
        <v>0</v>
      </c>
      <c r="K9" s="14">
        <f t="shared" si="1"/>
        <v>0</v>
      </c>
    </row>
    <row r="10">
      <c r="A10" s="8"/>
      <c r="B10" s="8" t="s">
        <v>1645</v>
      </c>
      <c r="C10" s="64">
        <f t="shared" si="2"/>
        <v>10.06109603</v>
      </c>
      <c r="D10" s="14">
        <f t="shared" ref="D10:K10" si="3">D9*0.000453592</f>
        <v>0.01857785826</v>
      </c>
      <c r="E10" s="14">
        <f t="shared" si="3"/>
        <v>6.22596814</v>
      </c>
      <c r="F10" s="14">
        <f t="shared" si="3"/>
        <v>0</v>
      </c>
      <c r="G10" s="14">
        <f t="shared" si="3"/>
        <v>3.310316049</v>
      </c>
      <c r="H10" s="14">
        <f t="shared" si="3"/>
        <v>0.1934644269</v>
      </c>
      <c r="I10" s="14">
        <f t="shared" si="3"/>
        <v>0.3127695555</v>
      </c>
      <c r="J10" s="54">
        <f t="shared" si="3"/>
        <v>0</v>
      </c>
      <c r="K10" s="54">
        <f t="shared" si="3"/>
        <v>0</v>
      </c>
    </row>
    <row r="11">
      <c r="A11" s="8"/>
      <c r="B11" s="8" t="s">
        <v>1646</v>
      </c>
      <c r="C11" s="64">
        <f t="shared" si="2"/>
        <v>92483.29082</v>
      </c>
      <c r="D11" s="14">
        <f t="shared" ref="D11:K11" si="4">D10*D$1</f>
        <v>88.24482675</v>
      </c>
      <c r="E11" s="14">
        <f t="shared" si="4"/>
        <v>67863.05272</v>
      </c>
      <c r="F11" s="14">
        <f t="shared" si="4"/>
        <v>0</v>
      </c>
      <c r="G11" s="14">
        <f t="shared" si="4"/>
        <v>20292.23738</v>
      </c>
      <c r="H11" s="14">
        <f t="shared" si="4"/>
        <v>1934.644269</v>
      </c>
      <c r="I11" s="14">
        <f t="shared" si="4"/>
        <v>2305.111624</v>
      </c>
      <c r="J11" s="14">
        <f t="shared" si="4"/>
        <v>0</v>
      </c>
      <c r="K11" s="14">
        <f t="shared" si="4"/>
        <v>0</v>
      </c>
    </row>
    <row r="12">
      <c r="A12" s="8"/>
      <c r="B12" s="8" t="s">
        <v>1647</v>
      </c>
      <c r="C12" s="14">
        <f t="shared" si="2"/>
        <v>1</v>
      </c>
      <c r="D12" s="14">
        <f t="shared" ref="D12:K12" si="5">D11/$C11</f>
        <v>0.0009541704881</v>
      </c>
      <c r="E12" s="14">
        <f t="shared" si="5"/>
        <v>0.7337871752</v>
      </c>
      <c r="F12" s="14">
        <f t="shared" si="5"/>
        <v>0</v>
      </c>
      <c r="G12" s="14">
        <f t="shared" si="5"/>
        <v>0.2194151743</v>
      </c>
      <c r="H12" s="14">
        <f t="shared" si="5"/>
        <v>0.02091885196</v>
      </c>
      <c r="I12" s="14">
        <f t="shared" si="5"/>
        <v>0.02492462805</v>
      </c>
      <c r="J12" s="14">
        <f t="shared" si="5"/>
        <v>0</v>
      </c>
      <c r="K12" s="14">
        <f t="shared" si="5"/>
        <v>0</v>
      </c>
    </row>
    <row r="14">
      <c r="A14" s="32" t="s">
        <v>44</v>
      </c>
      <c r="B14" s="32">
        <v>1.0</v>
      </c>
      <c r="C14" s="32">
        <v>5356.0</v>
      </c>
      <c r="D14" s="32">
        <v>94.63</v>
      </c>
      <c r="E14" s="32">
        <v>0.16</v>
      </c>
      <c r="F14" s="32">
        <v>0.0</v>
      </c>
      <c r="G14" s="32">
        <v>4.65</v>
      </c>
      <c r="H14" s="32">
        <v>0.0</v>
      </c>
      <c r="I14" s="32">
        <v>0.02</v>
      </c>
      <c r="J14" s="32">
        <v>0.0</v>
      </c>
      <c r="K14" s="32">
        <v>0.0</v>
      </c>
    </row>
    <row r="15">
      <c r="A15" s="63"/>
      <c r="B15" s="32">
        <v>2.0</v>
      </c>
      <c r="C15" s="32">
        <v>16710.0</v>
      </c>
      <c r="D15" s="32">
        <v>0.04</v>
      </c>
      <c r="E15" s="32">
        <v>91.81</v>
      </c>
      <c r="F15" s="32">
        <v>0.0</v>
      </c>
      <c r="G15" s="32">
        <v>0.02</v>
      </c>
      <c r="H15" s="32">
        <v>3.09</v>
      </c>
      <c r="I15" s="32">
        <v>0.04</v>
      </c>
      <c r="J15" s="32">
        <v>0.0</v>
      </c>
      <c r="K15" s="32">
        <v>0.0</v>
      </c>
    </row>
    <row r="16">
      <c r="A16" s="63"/>
      <c r="B16" s="32">
        <v>3.0</v>
      </c>
      <c r="C16" s="32">
        <v>6310.0</v>
      </c>
      <c r="D16" s="32">
        <v>0.04</v>
      </c>
      <c r="E16" s="32">
        <v>24.54</v>
      </c>
      <c r="F16" s="32">
        <v>0.0</v>
      </c>
      <c r="G16" s="32">
        <v>0.0</v>
      </c>
      <c r="H16" s="32">
        <v>0.01</v>
      </c>
      <c r="I16" s="32">
        <v>0.02</v>
      </c>
      <c r="J16" s="32">
        <v>0.0</v>
      </c>
      <c r="K16" s="32">
        <v>0.0</v>
      </c>
    </row>
    <row r="17">
      <c r="A17" s="63"/>
      <c r="B17" s="32">
        <v>4.0</v>
      </c>
      <c r="C17" s="32">
        <v>8120.0</v>
      </c>
      <c r="D17" s="32">
        <v>0.01</v>
      </c>
      <c r="E17" s="32">
        <v>20.51</v>
      </c>
      <c r="F17" s="32">
        <v>0.0</v>
      </c>
      <c r="G17" s="32">
        <v>0.0</v>
      </c>
      <c r="H17" s="32">
        <v>0.02</v>
      </c>
      <c r="I17" s="32">
        <v>0.01</v>
      </c>
      <c r="J17" s="32">
        <v>0.0</v>
      </c>
      <c r="K17" s="32">
        <v>0.0</v>
      </c>
    </row>
    <row r="18">
      <c r="A18" s="63"/>
      <c r="B18" s="32">
        <v>5.0</v>
      </c>
      <c r="C18" s="63"/>
      <c r="D18" s="63"/>
      <c r="E18" s="63"/>
      <c r="F18" s="63"/>
      <c r="G18" s="63"/>
      <c r="H18" s="63"/>
      <c r="I18" s="63"/>
      <c r="J18" s="63"/>
      <c r="K18" s="63"/>
    </row>
    <row r="20">
      <c r="B20" s="8" t="s">
        <v>1644</v>
      </c>
      <c r="C20" s="64">
        <f>SUM(C14:C18)</f>
        <v>36496</v>
      </c>
      <c r="D20" s="14">
        <f t="shared" ref="D20:K20" si="6">(D18/100)*$C18 + (D17/100)*$C17 + (D16/100)*$C16+ (D15/100)*$C15 + (D14/100)*$C14</f>
        <v>5078.4028</v>
      </c>
      <c r="E20" s="14">
        <f t="shared" si="6"/>
        <v>18563.9066</v>
      </c>
      <c r="F20" s="14">
        <f t="shared" si="6"/>
        <v>0</v>
      </c>
      <c r="G20" s="14">
        <f t="shared" si="6"/>
        <v>252.396</v>
      </c>
      <c r="H20" s="14">
        <f t="shared" si="6"/>
        <v>518.594</v>
      </c>
      <c r="I20" s="14">
        <f t="shared" si="6"/>
        <v>9.8292</v>
      </c>
      <c r="J20" s="14">
        <f t="shared" si="6"/>
        <v>0</v>
      </c>
      <c r="K20" s="14">
        <f t="shared" si="6"/>
        <v>0</v>
      </c>
    </row>
    <row r="21">
      <c r="B21" s="8" t="s">
        <v>1645</v>
      </c>
      <c r="C21" s="64">
        <f t="shared" ref="C21:C23" si="8">sum(D21:K21)</f>
        <v>11.07813575</v>
      </c>
      <c r="D21" s="14">
        <f t="shared" ref="D21:K21" si="7">D20*0.000453592</f>
        <v>2.303522883</v>
      </c>
      <c r="E21" s="14">
        <f t="shared" si="7"/>
        <v>8.420439523</v>
      </c>
      <c r="F21" s="14">
        <f t="shared" si="7"/>
        <v>0</v>
      </c>
      <c r="G21" s="14">
        <f t="shared" si="7"/>
        <v>0.1144848064</v>
      </c>
      <c r="H21" s="14">
        <f t="shared" si="7"/>
        <v>0.2352300896</v>
      </c>
      <c r="I21" s="14">
        <f t="shared" si="7"/>
        <v>0.004458446486</v>
      </c>
      <c r="J21" s="54">
        <f t="shared" si="7"/>
        <v>0</v>
      </c>
      <c r="K21" s="54">
        <f t="shared" si="7"/>
        <v>0</v>
      </c>
    </row>
    <row r="22">
      <c r="B22" s="8" t="s">
        <v>1646</v>
      </c>
      <c r="C22" s="64">
        <f t="shared" si="8"/>
        <v>105811.476</v>
      </c>
      <c r="D22" s="14">
        <f t="shared" ref="D22:K22" si="9">D21*D$1</f>
        <v>10941.73369</v>
      </c>
      <c r="E22" s="14">
        <f t="shared" si="9"/>
        <v>91782.7908</v>
      </c>
      <c r="F22" s="14">
        <f t="shared" si="9"/>
        <v>0</v>
      </c>
      <c r="G22" s="14">
        <f t="shared" si="9"/>
        <v>701.7918634</v>
      </c>
      <c r="H22" s="14">
        <f t="shared" si="9"/>
        <v>2352.300896</v>
      </c>
      <c r="I22" s="14">
        <f t="shared" si="9"/>
        <v>32.8587506</v>
      </c>
      <c r="J22" s="14">
        <f t="shared" si="9"/>
        <v>0</v>
      </c>
      <c r="K22" s="14">
        <f t="shared" si="9"/>
        <v>0</v>
      </c>
    </row>
    <row r="23">
      <c r="B23" s="8" t="s">
        <v>1647</v>
      </c>
      <c r="C23" s="14">
        <f t="shared" si="8"/>
        <v>1</v>
      </c>
      <c r="D23" s="14">
        <f t="shared" ref="D23:K23" si="10">D22/$C22</f>
        <v>0.1034078165</v>
      </c>
      <c r="E23" s="14">
        <f t="shared" si="10"/>
        <v>0.8674181125</v>
      </c>
      <c r="F23" s="14">
        <f t="shared" si="10"/>
        <v>0</v>
      </c>
      <c r="G23" s="14">
        <f t="shared" si="10"/>
        <v>0.006632474</v>
      </c>
      <c r="H23" s="14">
        <f t="shared" si="10"/>
        <v>0.02223105645</v>
      </c>
      <c r="I23" s="14">
        <f t="shared" si="10"/>
        <v>0.0003105405184</v>
      </c>
      <c r="J23" s="14">
        <f t="shared" si="10"/>
        <v>0</v>
      </c>
      <c r="K23" s="14">
        <f t="shared" si="10"/>
        <v>0</v>
      </c>
    </row>
    <row r="25">
      <c r="A25" s="32" t="s">
        <v>51</v>
      </c>
      <c r="B25" s="32">
        <v>1.0</v>
      </c>
      <c r="C25" s="35">
        <v>24710.0</v>
      </c>
      <c r="D25" s="32">
        <v>0.04</v>
      </c>
      <c r="E25" s="32">
        <v>51.66</v>
      </c>
      <c r="F25" s="32">
        <v>0.0</v>
      </c>
      <c r="G25" s="32">
        <v>45.97</v>
      </c>
      <c r="H25" s="32">
        <v>0.0</v>
      </c>
      <c r="I25" s="32">
        <v>0.79</v>
      </c>
      <c r="J25" s="32">
        <v>0.0</v>
      </c>
      <c r="K25" s="32">
        <v>0.0</v>
      </c>
    </row>
    <row r="27">
      <c r="B27" s="8" t="s">
        <v>1644</v>
      </c>
      <c r="C27" s="64">
        <f t="shared" ref="C27:C30" si="12">sum(D27:K27)</f>
        <v>24329.466</v>
      </c>
      <c r="D27" s="14">
        <f t="shared" ref="D27:K27" si="11">(D25/100)*$C25</f>
        <v>9.884</v>
      </c>
      <c r="E27" s="14">
        <f t="shared" si="11"/>
        <v>12765.186</v>
      </c>
      <c r="F27" s="14">
        <f t="shared" si="11"/>
        <v>0</v>
      </c>
      <c r="G27" s="14">
        <f t="shared" si="11"/>
        <v>11359.187</v>
      </c>
      <c r="H27" s="14">
        <f t="shared" si="11"/>
        <v>0</v>
      </c>
      <c r="I27" s="14">
        <f t="shared" si="11"/>
        <v>195.209</v>
      </c>
      <c r="J27" s="54">
        <f t="shared" si="11"/>
        <v>0</v>
      </c>
      <c r="K27" s="54">
        <f t="shared" si="11"/>
        <v>0</v>
      </c>
      <c r="M27" s="64"/>
    </row>
    <row r="28">
      <c r="B28" s="8" t="s">
        <v>1645</v>
      </c>
      <c r="C28" s="64">
        <f t="shared" si="12"/>
        <v>11.03565114</v>
      </c>
      <c r="D28" s="14">
        <f t="shared" ref="D28:K28" si="13">D27*0.000453592</f>
        <v>0.004483303328</v>
      </c>
      <c r="E28" s="14">
        <f t="shared" si="13"/>
        <v>5.790186248</v>
      </c>
      <c r="F28" s="14">
        <f t="shared" si="13"/>
        <v>0</v>
      </c>
      <c r="G28" s="14">
        <f t="shared" si="13"/>
        <v>5.15243635</v>
      </c>
      <c r="H28" s="14">
        <f t="shared" si="13"/>
        <v>0</v>
      </c>
      <c r="I28" s="14">
        <f t="shared" si="13"/>
        <v>0.08854524073</v>
      </c>
      <c r="J28" s="54">
        <f t="shared" si="13"/>
        <v>0</v>
      </c>
      <c r="K28" s="54">
        <f t="shared" si="13"/>
        <v>0</v>
      </c>
      <c r="M28" s="64"/>
    </row>
    <row r="29">
      <c r="B29" s="8" t="s">
        <v>1646</v>
      </c>
      <c r="C29" s="64">
        <f t="shared" si="12"/>
        <v>95371.33904</v>
      </c>
      <c r="D29" s="14">
        <f t="shared" ref="D29:K29" si="14">D28*D$1</f>
        <v>21.29569081</v>
      </c>
      <c r="E29" s="14">
        <f t="shared" si="14"/>
        <v>63113.0301</v>
      </c>
      <c r="F29" s="14">
        <f t="shared" si="14"/>
        <v>0</v>
      </c>
      <c r="G29" s="14">
        <f t="shared" si="14"/>
        <v>31584.43482</v>
      </c>
      <c r="H29" s="14">
        <f t="shared" si="14"/>
        <v>0</v>
      </c>
      <c r="I29" s="14">
        <f t="shared" si="14"/>
        <v>652.5784242</v>
      </c>
      <c r="J29" s="14">
        <f t="shared" si="14"/>
        <v>0</v>
      </c>
      <c r="K29" s="14">
        <f t="shared" si="14"/>
        <v>0</v>
      </c>
      <c r="M29" s="64"/>
    </row>
    <row r="30">
      <c r="B30" s="8" t="s">
        <v>1647</v>
      </c>
      <c r="C30" s="14">
        <f t="shared" si="12"/>
        <v>1</v>
      </c>
      <c r="D30" s="14">
        <f t="shared" ref="D30:K30" si="15">D29/$C29</f>
        <v>0.0002232923541</v>
      </c>
      <c r="E30" s="14">
        <f t="shared" si="15"/>
        <v>0.6617609728</v>
      </c>
      <c r="F30" s="14">
        <f t="shared" si="15"/>
        <v>0</v>
      </c>
      <c r="G30" s="14">
        <f t="shared" si="15"/>
        <v>0.3311732344</v>
      </c>
      <c r="H30" s="14">
        <f t="shared" si="15"/>
        <v>0</v>
      </c>
      <c r="I30" s="14">
        <f t="shared" si="15"/>
        <v>0.006842500385</v>
      </c>
      <c r="J30" s="14">
        <f t="shared" si="15"/>
        <v>0</v>
      </c>
      <c r="K30" s="14">
        <f t="shared" si="15"/>
        <v>0</v>
      </c>
    </row>
    <row r="31">
      <c r="B31" s="8"/>
    </row>
    <row r="32">
      <c r="A32" s="32" t="s">
        <v>57</v>
      </c>
      <c r="B32" s="32">
        <v>1.0</v>
      </c>
      <c r="C32" s="32">
        <v>3653.0</v>
      </c>
      <c r="D32" s="32">
        <v>70.91</v>
      </c>
      <c r="E32" s="32">
        <v>0.16</v>
      </c>
      <c r="F32" s="32">
        <v>0.0</v>
      </c>
      <c r="G32" s="32">
        <v>19.77</v>
      </c>
      <c r="H32" s="32">
        <v>0.02</v>
      </c>
      <c r="I32" s="32">
        <v>0.07</v>
      </c>
      <c r="J32" s="32">
        <v>0.0</v>
      </c>
      <c r="K32" s="32">
        <v>0.0</v>
      </c>
    </row>
    <row r="33">
      <c r="A33" s="63"/>
      <c r="B33" s="32">
        <v>2.0</v>
      </c>
      <c r="C33" s="35">
        <v>17600.0</v>
      </c>
      <c r="D33" s="32">
        <v>0.04</v>
      </c>
      <c r="E33" s="32">
        <v>93.84</v>
      </c>
      <c r="F33" s="32">
        <v>0.03</v>
      </c>
      <c r="G33" s="32">
        <v>0.03</v>
      </c>
      <c r="H33" s="32">
        <v>0.22</v>
      </c>
      <c r="I33" s="32">
        <v>0.28</v>
      </c>
      <c r="J33" s="32">
        <v>0.0</v>
      </c>
      <c r="K33" s="32">
        <v>0.0</v>
      </c>
    </row>
    <row r="35">
      <c r="B35" s="8" t="s">
        <v>1644</v>
      </c>
      <c r="C35" s="64">
        <f>SUM(C32:C33)</f>
        <v>21253</v>
      </c>
      <c r="D35" s="14">
        <f t="shared" ref="D35:K35" si="16">(D33/100)*$C33 + (D32/100)*$C32</f>
        <v>2597.3823</v>
      </c>
      <c r="E35" s="14">
        <f t="shared" si="16"/>
        <v>16521.6848</v>
      </c>
      <c r="F35" s="14">
        <f t="shared" si="16"/>
        <v>5.28</v>
      </c>
      <c r="G35" s="14">
        <f t="shared" si="16"/>
        <v>727.4781</v>
      </c>
      <c r="H35" s="14">
        <f t="shared" si="16"/>
        <v>39.4506</v>
      </c>
      <c r="I35" s="14">
        <f t="shared" si="16"/>
        <v>51.8371</v>
      </c>
      <c r="J35" s="14">
        <f t="shared" si="16"/>
        <v>0</v>
      </c>
      <c r="K35" s="14">
        <f t="shared" si="16"/>
        <v>0</v>
      </c>
    </row>
    <row r="36">
      <c r="B36" s="8" t="s">
        <v>1645</v>
      </c>
      <c r="C36" s="64">
        <f t="shared" ref="C36:C38" si="18">sum(D36:K36)</f>
        <v>9.046036467</v>
      </c>
      <c r="D36" s="14">
        <f t="shared" ref="D36:K36" si="17">D35*0.000453592</f>
        <v>1.178151832</v>
      </c>
      <c r="E36" s="14">
        <f t="shared" si="17"/>
        <v>7.494104052</v>
      </c>
      <c r="F36" s="14">
        <f t="shared" si="17"/>
        <v>0.00239496576</v>
      </c>
      <c r="G36" s="14">
        <f t="shared" si="17"/>
        <v>0.3299782463</v>
      </c>
      <c r="H36" s="14">
        <f t="shared" si="17"/>
        <v>0.01789447656</v>
      </c>
      <c r="I36" s="14">
        <f t="shared" si="17"/>
        <v>0.02351289386</v>
      </c>
      <c r="J36" s="54">
        <f t="shared" si="17"/>
        <v>0</v>
      </c>
      <c r="K36" s="54">
        <f t="shared" si="17"/>
        <v>0</v>
      </c>
    </row>
    <row r="37">
      <c r="B37" s="8" t="s">
        <v>1646</v>
      </c>
      <c r="C37" s="64">
        <f t="shared" si="18"/>
        <v>89691.44432</v>
      </c>
      <c r="D37" s="14">
        <f t="shared" ref="D37:K37" si="19">D36*D$1</f>
        <v>5596.221203</v>
      </c>
      <c r="E37" s="14">
        <f t="shared" si="19"/>
        <v>81685.73416</v>
      </c>
      <c r="F37" s="14">
        <f t="shared" si="19"/>
        <v>34.48750694</v>
      </c>
      <c r="G37" s="14">
        <f t="shared" si="19"/>
        <v>2022.76665</v>
      </c>
      <c r="H37" s="14">
        <f t="shared" si="19"/>
        <v>178.9447656</v>
      </c>
      <c r="I37" s="14">
        <f t="shared" si="19"/>
        <v>173.2900278</v>
      </c>
      <c r="J37" s="14">
        <f t="shared" si="19"/>
        <v>0</v>
      </c>
      <c r="K37" s="14">
        <f t="shared" si="19"/>
        <v>0</v>
      </c>
    </row>
    <row r="38">
      <c r="A38" s="8"/>
      <c r="B38" s="8" t="s">
        <v>1647</v>
      </c>
      <c r="C38" s="14">
        <f t="shared" si="18"/>
        <v>1</v>
      </c>
      <c r="D38" s="14">
        <f t="shared" ref="D38:K38" si="20">D37/$C37</f>
        <v>0.06239414746</v>
      </c>
      <c r="E38" s="14">
        <f t="shared" si="20"/>
        <v>0.910741652</v>
      </c>
      <c r="F38" s="14">
        <f t="shared" si="20"/>
        <v>0.0003845127839</v>
      </c>
      <c r="G38" s="14">
        <f t="shared" si="20"/>
        <v>0.02255250393</v>
      </c>
      <c r="H38" s="14">
        <f t="shared" si="20"/>
        <v>0.001995115219</v>
      </c>
      <c r="I38" s="14">
        <f t="shared" si="20"/>
        <v>0.00193206865</v>
      </c>
      <c r="J38" s="14">
        <f t="shared" si="20"/>
        <v>0</v>
      </c>
      <c r="K38" s="14">
        <f t="shared" si="20"/>
        <v>0</v>
      </c>
    </row>
    <row r="39">
      <c r="A39" s="8"/>
    </row>
    <row r="40">
      <c r="A40" s="32" t="s">
        <v>63</v>
      </c>
      <c r="B40" s="32">
        <v>1.0</v>
      </c>
      <c r="C40" s="32">
        <v>30820.0</v>
      </c>
      <c r="D40" s="32">
        <v>0.07</v>
      </c>
      <c r="E40" s="32">
        <v>93.56</v>
      </c>
      <c r="F40" s="32">
        <v>0.0</v>
      </c>
      <c r="G40" s="32">
        <v>0.0</v>
      </c>
      <c r="H40" s="32">
        <v>3.68</v>
      </c>
      <c r="I40" s="32">
        <v>0.17</v>
      </c>
      <c r="J40" s="32">
        <v>0.0</v>
      </c>
      <c r="K40" s="32">
        <v>0.0</v>
      </c>
    </row>
    <row r="41">
      <c r="A41" s="63"/>
      <c r="B41" s="32">
        <v>2.0</v>
      </c>
      <c r="C41" s="32">
        <v>240.0</v>
      </c>
      <c r="D41" s="32">
        <v>0.07</v>
      </c>
      <c r="E41" s="32">
        <v>93.56</v>
      </c>
      <c r="F41" s="32">
        <v>0.0</v>
      </c>
      <c r="G41" s="32">
        <v>0.0</v>
      </c>
      <c r="H41" s="32">
        <v>3.68</v>
      </c>
      <c r="I41" s="32">
        <v>0.17</v>
      </c>
      <c r="J41" s="32">
        <v>0.0</v>
      </c>
      <c r="K41" s="32">
        <v>0.0</v>
      </c>
    </row>
    <row r="42">
      <c r="A42" s="63"/>
      <c r="B42" s="32">
        <v>3.0</v>
      </c>
      <c r="C42" s="32"/>
      <c r="D42" s="32"/>
      <c r="E42" s="32"/>
      <c r="F42" s="32"/>
      <c r="G42" s="32"/>
      <c r="H42" s="32"/>
      <c r="I42" s="32"/>
      <c r="J42" s="32"/>
      <c r="K42" s="32"/>
    </row>
    <row r="43">
      <c r="A43" s="63"/>
      <c r="B43" s="32">
        <v>4.0</v>
      </c>
      <c r="C43" s="32"/>
      <c r="D43" s="32"/>
      <c r="E43" s="32"/>
      <c r="F43" s="32"/>
      <c r="G43" s="32"/>
      <c r="H43" s="32"/>
      <c r="I43" s="32"/>
      <c r="J43" s="32"/>
      <c r="K43" s="32"/>
    </row>
    <row r="44">
      <c r="A44" s="63"/>
      <c r="B44" s="32">
        <v>5.0</v>
      </c>
      <c r="C44" s="63"/>
      <c r="D44" s="63"/>
      <c r="E44" s="63"/>
      <c r="F44" s="63"/>
      <c r="G44" s="63"/>
      <c r="H44" s="63"/>
      <c r="I44" s="63"/>
      <c r="J44" s="63"/>
      <c r="K44" s="63"/>
    </row>
    <row r="46">
      <c r="B46" s="8" t="s">
        <v>1644</v>
      </c>
      <c r="C46" s="64">
        <f>SUM(C40:C44)</f>
        <v>31060</v>
      </c>
      <c r="D46" s="14">
        <f t="shared" ref="D46:K46" si="21">(D44/100)*$C44 + (D43/100)*$C43 + (D42/100)*$C42+ (D41/100)*$C41 + (D40/100)*$C40</f>
        <v>21.742</v>
      </c>
      <c r="E46" s="14">
        <f t="shared" si="21"/>
        <v>29059.736</v>
      </c>
      <c r="F46" s="14">
        <f t="shared" si="21"/>
        <v>0</v>
      </c>
      <c r="G46" s="14">
        <f t="shared" si="21"/>
        <v>0</v>
      </c>
      <c r="H46" s="14">
        <f t="shared" si="21"/>
        <v>1143.008</v>
      </c>
      <c r="I46" s="14">
        <f t="shared" si="21"/>
        <v>52.802</v>
      </c>
      <c r="J46" s="14">
        <f t="shared" si="21"/>
        <v>0</v>
      </c>
      <c r="K46" s="14">
        <f t="shared" si="21"/>
        <v>0</v>
      </c>
    </row>
    <row r="47">
      <c r="B47" s="8" t="s">
        <v>1645</v>
      </c>
      <c r="C47" s="64">
        <f t="shared" ref="C47:C49" si="23">sum(D47:K47)</f>
        <v>13.73353562</v>
      </c>
      <c r="D47" s="14">
        <f t="shared" ref="D47:K47" si="22">D46*0.000453592</f>
        <v>0.009861997264</v>
      </c>
      <c r="E47" s="14">
        <f t="shared" si="22"/>
        <v>13.18126377</v>
      </c>
      <c r="F47" s="14">
        <f t="shared" si="22"/>
        <v>0</v>
      </c>
      <c r="G47" s="14">
        <f t="shared" si="22"/>
        <v>0</v>
      </c>
      <c r="H47" s="14">
        <f t="shared" si="22"/>
        <v>0.5184592847</v>
      </c>
      <c r="I47" s="14">
        <f t="shared" si="22"/>
        <v>0.02395056478</v>
      </c>
      <c r="J47" s="54">
        <f t="shared" si="22"/>
        <v>0</v>
      </c>
      <c r="K47" s="54">
        <f t="shared" si="22"/>
        <v>0</v>
      </c>
    </row>
    <row r="48">
      <c r="B48" s="8" t="s">
        <v>1646</v>
      </c>
      <c r="C48" s="64">
        <f t="shared" si="23"/>
        <v>149083.7281</v>
      </c>
      <c r="D48" s="14">
        <f t="shared" ref="D48:K48" si="24">D47*D$1</f>
        <v>46.844487</v>
      </c>
      <c r="E48" s="14">
        <f t="shared" si="24"/>
        <v>143675.7751</v>
      </c>
      <c r="F48" s="14">
        <f t="shared" si="24"/>
        <v>0</v>
      </c>
      <c r="G48" s="14">
        <f t="shared" si="24"/>
        <v>0</v>
      </c>
      <c r="H48" s="14">
        <f t="shared" si="24"/>
        <v>5184.592847</v>
      </c>
      <c r="I48" s="14">
        <f t="shared" si="24"/>
        <v>176.5156625</v>
      </c>
      <c r="J48" s="14">
        <f t="shared" si="24"/>
        <v>0</v>
      </c>
      <c r="K48" s="14">
        <f t="shared" si="24"/>
        <v>0</v>
      </c>
    </row>
    <row r="49">
      <c r="B49" s="8" t="s">
        <v>1647</v>
      </c>
      <c r="C49" s="14">
        <f t="shared" si="23"/>
        <v>1</v>
      </c>
      <c r="D49" s="14">
        <f t="shared" ref="D49:K49" si="25">D48/$C48</f>
        <v>0.0003142159617</v>
      </c>
      <c r="E49" s="14">
        <f t="shared" si="25"/>
        <v>0.9637253974</v>
      </c>
      <c r="F49" s="14">
        <f t="shared" si="25"/>
        <v>0</v>
      </c>
      <c r="G49" s="14">
        <f t="shared" si="25"/>
        <v>0</v>
      </c>
      <c r="H49" s="14">
        <f t="shared" si="25"/>
        <v>0.03477638313</v>
      </c>
      <c r="I49" s="14">
        <f t="shared" si="25"/>
        <v>0.001184003544</v>
      </c>
      <c r="J49" s="14">
        <f t="shared" si="25"/>
        <v>0</v>
      </c>
      <c r="K49" s="14">
        <f t="shared" si="25"/>
        <v>0</v>
      </c>
    </row>
    <row r="51">
      <c r="A51" s="32" t="s">
        <v>68</v>
      </c>
      <c r="B51" s="32">
        <v>1.0</v>
      </c>
      <c r="C51" s="32">
        <v>5363.0</v>
      </c>
      <c r="D51" s="32">
        <v>32.45</v>
      </c>
      <c r="E51" s="32">
        <v>0.11</v>
      </c>
      <c r="F51" s="32">
        <v>0.0</v>
      </c>
      <c r="G51" s="32">
        <v>65.93</v>
      </c>
      <c r="H51" s="32">
        <v>0.0</v>
      </c>
      <c r="I51" s="32">
        <v>0.12</v>
      </c>
      <c r="J51" s="32">
        <v>0.0</v>
      </c>
      <c r="K51" s="32">
        <v>0.0</v>
      </c>
      <c r="M51" s="54">
        <f t="shared" ref="M51:M55" si="26">sum(D51:K51)</f>
        <v>98.61</v>
      </c>
    </row>
    <row r="52">
      <c r="A52" s="63"/>
      <c r="B52" s="32">
        <v>2.0</v>
      </c>
      <c r="C52" s="32">
        <v>7188.0</v>
      </c>
      <c r="D52" s="32">
        <v>0.5</v>
      </c>
      <c r="E52" s="32">
        <v>87.56</v>
      </c>
      <c r="F52" s="32">
        <v>0.0</v>
      </c>
      <c r="G52" s="32">
        <v>0.2</v>
      </c>
      <c r="H52" s="32">
        <v>0.05</v>
      </c>
      <c r="I52" s="32">
        <v>3.6</v>
      </c>
      <c r="J52" s="32">
        <v>0.0</v>
      </c>
      <c r="K52" s="32">
        <v>0.0</v>
      </c>
      <c r="M52" s="54">
        <f t="shared" si="26"/>
        <v>91.91</v>
      </c>
    </row>
    <row r="53">
      <c r="A53" s="63"/>
      <c r="B53" s="32">
        <v>3.0</v>
      </c>
      <c r="C53" s="32">
        <v>8780.0</v>
      </c>
      <c r="D53" s="32">
        <v>91.94</v>
      </c>
      <c r="E53" s="32">
        <v>0.05</v>
      </c>
      <c r="F53" s="32">
        <v>0.0</v>
      </c>
      <c r="G53" s="32">
        <v>4.23</v>
      </c>
      <c r="H53" s="32">
        <v>0.0</v>
      </c>
      <c r="I53" s="32">
        <v>0.0</v>
      </c>
      <c r="J53" s="32">
        <v>0.0</v>
      </c>
      <c r="K53" s="32">
        <v>0.0</v>
      </c>
      <c r="M53" s="54">
        <f t="shared" si="26"/>
        <v>96.22</v>
      </c>
    </row>
    <row r="54">
      <c r="A54" s="63"/>
      <c r="B54" s="32">
        <v>4.0</v>
      </c>
      <c r="C54" s="32">
        <v>7074.0</v>
      </c>
      <c r="D54" s="32">
        <v>0.13</v>
      </c>
      <c r="E54" s="32">
        <v>97.18</v>
      </c>
      <c r="F54" s="32">
        <v>0.0</v>
      </c>
      <c r="G54" s="32">
        <v>0.02</v>
      </c>
      <c r="H54" s="32">
        <v>0.02</v>
      </c>
      <c r="I54" s="32">
        <v>0.28</v>
      </c>
      <c r="J54" s="32">
        <v>0.0</v>
      </c>
      <c r="K54" s="32">
        <v>0.0</v>
      </c>
      <c r="M54" s="54">
        <f t="shared" si="26"/>
        <v>97.63</v>
      </c>
    </row>
    <row r="55">
      <c r="A55" s="63"/>
      <c r="B55" s="32">
        <v>5.0</v>
      </c>
      <c r="C55" s="32">
        <v>3180.0</v>
      </c>
      <c r="D55" s="32">
        <v>0.07</v>
      </c>
      <c r="E55" s="32">
        <v>31.84</v>
      </c>
      <c r="F55" s="32">
        <v>0.0</v>
      </c>
      <c r="G55" s="32">
        <v>0.04</v>
      </c>
      <c r="H55" s="32">
        <v>19.35</v>
      </c>
      <c r="I55" s="32">
        <v>16.35</v>
      </c>
      <c r="J55" s="32">
        <v>0.0</v>
      </c>
      <c r="K55" s="32">
        <v>0.0</v>
      </c>
      <c r="M55" s="54">
        <f t="shared" si="26"/>
        <v>67.65</v>
      </c>
    </row>
    <row r="57">
      <c r="B57" s="8" t="s">
        <v>1644</v>
      </c>
      <c r="C57" s="64">
        <f>SUM(C51:C55)</f>
        <v>31585</v>
      </c>
      <c r="D57" s="14">
        <f t="shared" ref="D57:K57" si="27">(D55/100)*$C55 + (D54/100)*$C54 + (D53/100)*$C53+ (D52/100)*$C52 + (D51/100)*$C51</f>
        <v>9859.9877</v>
      </c>
      <c r="E57" s="14">
        <f t="shared" si="27"/>
        <v>14191.1273</v>
      </c>
      <c r="F57" s="14">
        <f t="shared" si="27"/>
        <v>0</v>
      </c>
      <c r="G57" s="14">
        <f t="shared" si="27"/>
        <v>3924.2827</v>
      </c>
      <c r="H57" s="14">
        <f t="shared" si="27"/>
        <v>620.3388</v>
      </c>
      <c r="I57" s="14">
        <f t="shared" si="27"/>
        <v>804.9408</v>
      </c>
      <c r="J57" s="14">
        <f t="shared" si="27"/>
        <v>0</v>
      </c>
      <c r="K57" s="14">
        <f t="shared" si="27"/>
        <v>0</v>
      </c>
    </row>
    <row r="58">
      <c r="B58" s="8" t="s">
        <v>1645</v>
      </c>
      <c r="C58" s="64">
        <f t="shared" ref="C58:C60" si="29">sum(D58:K58)</f>
        <v>13.33591202</v>
      </c>
      <c r="D58" s="14">
        <f t="shared" ref="D58:K58" si="28">D57*0.000453592</f>
        <v>4.472411541</v>
      </c>
      <c r="E58" s="14">
        <f t="shared" si="28"/>
        <v>6.436981814</v>
      </c>
      <c r="F58" s="14">
        <f t="shared" si="28"/>
        <v>0</v>
      </c>
      <c r="G58" s="14">
        <f t="shared" si="28"/>
        <v>1.780023238</v>
      </c>
      <c r="H58" s="14">
        <f t="shared" si="28"/>
        <v>0.281380717</v>
      </c>
      <c r="I58" s="14">
        <f t="shared" si="28"/>
        <v>0.3651147074</v>
      </c>
      <c r="J58" s="54">
        <f t="shared" si="28"/>
        <v>0</v>
      </c>
      <c r="K58" s="54">
        <f t="shared" si="28"/>
        <v>0</v>
      </c>
    </row>
    <row r="59">
      <c r="B59" s="8" t="s">
        <v>1646</v>
      </c>
      <c r="C59" s="64">
        <f t="shared" si="29"/>
        <v>107823.3016</v>
      </c>
      <c r="D59" s="14">
        <f t="shared" ref="D59:K59" si="30">D58*D$1</f>
        <v>21243.95482</v>
      </c>
      <c r="E59" s="14">
        <f t="shared" si="30"/>
        <v>70163.10178</v>
      </c>
      <c r="F59" s="14">
        <f t="shared" si="30"/>
        <v>0</v>
      </c>
      <c r="G59" s="14">
        <f t="shared" si="30"/>
        <v>10911.54245</v>
      </c>
      <c r="H59" s="14">
        <f t="shared" si="30"/>
        <v>2813.80717</v>
      </c>
      <c r="I59" s="14">
        <f t="shared" si="30"/>
        <v>2690.895393</v>
      </c>
      <c r="J59" s="14">
        <f t="shared" si="30"/>
        <v>0</v>
      </c>
      <c r="K59" s="14">
        <f t="shared" si="30"/>
        <v>0</v>
      </c>
    </row>
    <row r="60">
      <c r="B60" s="8" t="s">
        <v>1647</v>
      </c>
      <c r="C60" s="14">
        <f t="shared" si="29"/>
        <v>1</v>
      </c>
      <c r="D60" s="14">
        <f t="shared" ref="D60:K60" si="31">D59/$C59</f>
        <v>0.1970256383</v>
      </c>
      <c r="E60" s="14">
        <f t="shared" si="31"/>
        <v>0.6507229952</v>
      </c>
      <c r="F60" s="14">
        <f t="shared" si="31"/>
        <v>0</v>
      </c>
      <c r="G60" s="14">
        <f t="shared" si="31"/>
        <v>0.1011983708</v>
      </c>
      <c r="H60" s="14">
        <f t="shared" si="31"/>
        <v>0.02609646642</v>
      </c>
      <c r="I60" s="14">
        <f t="shared" si="31"/>
        <v>0.02495652937</v>
      </c>
      <c r="J60" s="14">
        <f t="shared" si="31"/>
        <v>0</v>
      </c>
      <c r="K60" s="14">
        <f t="shared" si="31"/>
        <v>0</v>
      </c>
    </row>
  </sheetData>
  <drawing r:id="rId4"/>
  <legacyDrawing r:id="rId5"/>
</worksheet>
</file>